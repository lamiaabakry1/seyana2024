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1"/>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<sst xmlns="http://schemas.openxmlformats.org/spreadsheetml/2006/main" count="919" uniqueCount="346">
  <si>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</si>
  <si>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</si>
  <si>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</si>
  <si>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</si>
  <si>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</si>
  <si>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</si>
  <si>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</si>
  <si>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</si>
  <si>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</si>
  <si>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</si>
  <si>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</si>
  <si>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</si>
  <si>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</si>
  <si>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</si>
  <si>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</si>
  <si>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</si>
  <si>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</si>
  <si>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</si>
  <si>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</si>
  <si>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</si>
  <si>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</si>
  <si>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</si>
  <si>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</si>
  <si>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</si>
  <si>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</si>
  <si>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</si>
  <si>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</si>
  <si>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</si>
  <si>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</si>
  <si>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</si>
  <si>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</si>
  <si>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</si>
  <si>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</si>
  <si>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</si>
  <si>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</si>
  <si>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</si>
  <si>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</si>
  <si>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</si>
  <si>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</si>
  <si>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</si>
  <si>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</si>
  <si>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</si>
  <si>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</si>
  <si>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</si>
  <si>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</si>
  <si>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</si>
  <si>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</si>
  <si>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</si>
  <si>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</si>
  <si>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</si>
  <si>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</si>
  <si>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</si>
  <si>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</si>
  <si>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</si>
  <si>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</si>
  <si>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</si>
  <si>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</si>
  <si>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</si>
  <si>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</si>
  <si>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</si>
  <si>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</si>
  <si>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</si>
  <si>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</si>
  <si>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</si>
  <si>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</si>
  <si>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</si>
  <si>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</si>
  <si>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</si>
  <si>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</si>
  <si>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</si>
  <si>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</si>
  <si>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</si>
  <si>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</si>
  <si>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</si>
  <si>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</si>
  <si>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</si>
  <si>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</si>
  <si>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</si>
  <si>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</si>
  <si>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</si>
  <si>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</si>
  <si>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</si>
  <si>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</si>
  <si>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</si>
  <si>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</si>
  <si>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</si>
  <si>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</si>
  <si>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</si>
  <si>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</si>
  <si>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</si>
  <si>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</si>
  <si>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</si>
  <si>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</si>
  <si>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</si>
  <si>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</si>
  <si>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</si>
  <si>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</si>
  <si>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</si>
  <si>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</si>
  <si>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</si>
  <si>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</si>
  <si>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</si>
  <si>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</si>
  <si>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</si>
  <si>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</si>
  <si>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</si>
  <si>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</si>
  <si>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</si>
  <si>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</si>
  <si>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</si>
  <si>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</si>
  <si>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</si>
  <si>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</si>
  <si>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</si>
  <si>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</si>
  <si>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</si>
  <si>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</si>
  <si>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</si>
  <si>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</si>
  <si>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</si>
  <si>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</si>
  <si>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</si>
  <si>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</si>
  <si>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</si>
  <si>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</si>
  <si>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</si>
  <si>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</si>
  <si>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</si>
  <si>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</si>
  <si>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</si>
  <si>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</si>
  <si>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</si>
  <si>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</si>
  <si>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</si>
  <si>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</si>
  <si>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</si>
  <si>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</si>
  <si>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</si>
  <si>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</si>
  <si>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</si>
  <si>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</si>
  <si>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</si>
  <si>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</si>
  <si>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</si>
  <si>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</si>
  <si>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</si>
  <si>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</si>
  <si>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</si>
  <si>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</si>
  <si>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</si>
  <si>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</si>
  <si>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</si>
  <si>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</si>
  <si>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</si>
  <si>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</si>
  <si>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</si>
  <si>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</si>
  <si>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</si>
  <si>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</si>
  <si>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</si>
  <si>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</si>
  <si>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</si>
  <si>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</si>
  <si>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</si>
  <si>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</si>
  <si>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</si>
  <si>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</si>
  <si>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</si>
  <si>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</si>
  <si>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</si>
  <si>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</si>
  <si>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</si>
  <si>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</si>
  <si>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</si>
  <si>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</si>
  <si>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</si>
  <si>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</si>
  <si>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</si>
  <si>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</si>
  <si>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</si>
  <si>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</si>
  <si>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</si>
  <si>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</si>
  <si>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</si>
  <si>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</si>
  <si>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</si>
  <si>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</si>
  <si>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</si>
  <si>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</si>
  <si>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</si>
  <si>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</si>
  <si>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</si>
  <si>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</si>
  <si>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</si>
  <si>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</si>
  <si>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</si>
  <si>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</si>
  <si>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</si>
  <si>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</si>
  <si>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</si>
  <si>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</si>
  <si>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</si>
  <si>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</si>
  <si>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</si>
  <si>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</si>
  <si>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</si>
  <si>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</si>
  <si>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</si>
  <si>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</si>
  <si>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</si>
  <si>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</si>
  <si>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</si>
  <si>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</si>
  <si>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</si>
  <si>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</si>
  <si>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</si>
  <si>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</si>
  <si>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</si>
  <si>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</si>
  <si>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</si>
  <si>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</si>
  <si>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</si>
  <si>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</si>
  <si>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</si>
  <si>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</si>
  <si>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</si>
  <si>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</si>
  <si>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</si>
  <si>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</si>
  <si>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</si>
  <si>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</si>
  <si>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</si>
  <si>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</si>
  <si>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</si>
  <si>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</si>
  <si>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</si>
  <si>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</si>
  <si>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</si>
  <si>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</si>
  <si>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</si>
  <si>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</si>
  <si>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</si>
  <si>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</si>
  <si>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</si>
  <si>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</si>
  <si>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</si>
  <si>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</si>
  <si>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</si>
  <si>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</si>
  <si>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</si>
  <si>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</si>
  <si>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</si>
  <si>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</si>
  <si>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</si>
  <si>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</si>
  <si>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</si>
  <si>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</si>
  <si>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</si>
  <si>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</si>
  <si>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</si>
  <si>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</si>
  <si>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</si>
  <si>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</si>
  <si>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</si>
  <si>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</si>
  <si>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</si>
  <si>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</si>
  <si>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</si>
  <si>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</si>
  <si>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</si>
  <si>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</si>
  <si>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</si>
  <si>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</si>
  <si>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</si>
  <si>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</si>
  <si>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</si>
  <si>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</si>
  <si>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</si>
  <si>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</si>
  <si>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</si>
  <si>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</si>
  <si>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</si>
  <si>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</si>
  <si>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</si>
  <si>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</si>
  <si>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</si>
  <si>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</si>
  <si>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</si>
  <si>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</si>
  <si>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</si>
  <si>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</si>
  <si>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</si>
  <si>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</si>
  <si>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</si>
  <si>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</si>
  <si>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</si>
  <si>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</si>
  <si>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</si>
  <si>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</si>
  <si>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</si>
  <si>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</si>
  <si>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</si>
  <si>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</si>
  <si>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</si>
  <si>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</si>
  <si>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</si>
  <si>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</si>
  <si>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</si>
  <si>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</si>
  <si>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</si>
  <si>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</si>
  <si>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</si>
  <si>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</si>
  <si>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</si>
  <si>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</si>
  <si>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</si>
  <si>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</si>
  <si>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</si>
  <si>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</si>
  <si>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</si>
  <si>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</si>
  <si>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</si>
  <si>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</si>
  <si>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</si>
  <si>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</si>
  <si>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</si>
  <si>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</si>
  <si>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</si>
  <si>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</si>
  <si>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</si>
  <si>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</si>
  <si>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</si>
  <si>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</si>
  <si>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</si>
  <si>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</si>
  <si>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</si>
  <si>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</si>
  <si>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</si>
  <si>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</si>
  <si>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</si>
  <si>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</si>
  <si>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</si>
  <si>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</si>
  <si>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</si>
  <si>
    <t>تحت حساب صيانة الموتور تركيب شيك بلف جديد ووصلات كتير + تركيب وصلة جديدة للموتور بتاع منال بحيث لا يتاثر موتور العمارة بموتور منال + مصنعية 600 جنيه</t>
  </si>
  <si>
    <t>تحت حساب شراء مفتاح باتشينو عند الموتور لسهولة فتح وقفل الكهرباء عن الموتور</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</si>
</sst>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4">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4244480"/>
        <c:axId val="164274944"/>
      </c:barChart>
      <c:dateAx>
        <c:axId val="164244480"/>
        <c:scaling>
          <c:orientation val="minMax"/>
        </c:scaling>
        <c:axPos val="b"/>
        <c:numFmt formatCode="[$-1010000]yyyy/mm/dd;@" sourceLinked="1"/>
        <c:tickLblPos val="nextTo"/>
        <c:crossAx val="164274944"/>
        <c:crosses val="autoZero"/>
        <c:auto val="1"/>
        <c:lblOffset val="100"/>
      </c:dateAx>
      <c:valAx>
        <c:axId val="164274944"/>
        <c:scaling>
          <c:orientation val="minMax"/>
        </c:scaling>
        <c:axPos val="l"/>
        <c:majorGridlines/>
        <c:numFmt formatCode="General" sourceLinked="1"/>
        <c:tickLblPos val="nextTo"/>
        <c:crossAx val="16424448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1" t="s">
        <v>117</v>
      </c>
      <c r="D2" s="111"/>
      <c r="E2" s="111"/>
      <c r="F2" s="111"/>
      <c r="G2" s="111"/>
      <c r="H2" s="111"/>
      <c r="I2" s="111"/>
      <c r="J2" s="111"/>
      <c r="K2" s="111"/>
      <c r="L2" s="111"/>
      <c r="M2" s="111"/>
      <c r="N2" s="111"/>
      <c r="O2" s="111"/>
      <c r="P2" s="111"/>
      <c r="Q2" s="111"/>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2" t="s">
        <v>257</v>
      </c>
      <c r="D2" s="112"/>
      <c r="E2" s="112"/>
      <c r="F2" s="112"/>
      <c r="G2" s="112"/>
      <c r="H2" s="112"/>
      <c r="I2" s="112"/>
      <c r="J2" s="112"/>
      <c r="K2" s="112"/>
      <c r="L2" s="112"/>
      <c r="M2" s="112"/>
      <c r="N2" s="112"/>
      <c r="O2" s="19"/>
    </row>
    <row r="3" spans="1:17" ht="21">
      <c r="C3" s="90"/>
      <c r="F3" s="113" t="s">
        <v>250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2" t="s">
        <v>187</v>
      </c>
      <c r="D2" s="112"/>
      <c r="E2" s="112"/>
      <c r="F2" s="112"/>
      <c r="G2" s="112"/>
      <c r="H2" s="112"/>
      <c r="I2" s="112"/>
      <c r="J2" s="112"/>
      <c r="K2" s="112"/>
      <c r="L2" s="112"/>
      <c r="M2" s="112"/>
      <c r="N2" s="112"/>
      <c r="O2" s="19"/>
    </row>
    <row r="3" spans="1:17" ht="21">
      <c r="C3" s="90"/>
      <c r="F3" s="113" t="s">
        <v>190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1" t="s">
        <v>36</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1" sqref="R11"/>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4" t="s">
        <v>140</v>
      </c>
      <c r="D1" s="114"/>
      <c r="E1" s="114"/>
      <c r="F1" s="114"/>
      <c r="G1" s="114"/>
      <c r="H1" s="114"/>
      <c r="I1" s="114"/>
      <c r="J1" s="114"/>
      <c r="K1" s="114"/>
      <c r="L1" s="114"/>
      <c r="M1" s="114"/>
      <c r="N1" s="114"/>
      <c r="O1" s="114"/>
    </row>
    <row r="2" spans="1:20" ht="26.25">
      <c r="B2" s="18"/>
      <c r="C2" s="111"/>
      <c r="D2" s="111"/>
      <c r="E2" s="111"/>
      <c r="F2" s="111"/>
      <c r="G2" s="111"/>
      <c r="H2" s="111"/>
      <c r="I2" s="111"/>
      <c r="J2" s="111"/>
      <c r="K2" s="111"/>
      <c r="L2" s="111"/>
      <c r="M2" s="111"/>
      <c r="N2" s="111"/>
      <c r="O2" s="111"/>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0</v>
      </c>
      <c r="M13" s="28">
        <f>Apartment11!D13</f>
        <v>0</v>
      </c>
      <c r="N13" s="28">
        <f>Apartment12!D13</f>
        <v>200</v>
      </c>
      <c r="O13" s="28">
        <f>Apartment13!D13</f>
        <v>100</v>
      </c>
      <c r="P13" s="28">
        <f>Apartment14!D13</f>
        <v>100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0</v>
      </c>
      <c r="M14" s="28">
        <f>Apartment11!D14</f>
        <v>0</v>
      </c>
      <c r="N14" s="28">
        <f>Apartment12!D14</f>
        <v>200</v>
      </c>
      <c r="O14" s="28">
        <f>Apartment13!D14</f>
        <v>100</v>
      </c>
      <c r="P14" s="28">
        <f>Apartment14!D14</f>
        <v>100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0</v>
      </c>
      <c r="M15" s="28">
        <f>Apartment11!D15</f>
        <v>0</v>
      </c>
      <c r="N15" s="28">
        <f>Apartment12!D15</f>
        <v>200</v>
      </c>
      <c r="O15" s="28">
        <f>Apartment13!D15</f>
        <v>100</v>
      </c>
      <c r="P15" s="28">
        <f>Apartment14!D15</f>
        <v>100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0</v>
      </c>
      <c r="M16" s="28">
        <f>Apartment11!D16</f>
        <v>0</v>
      </c>
      <c r="N16" s="28">
        <f>Apartment12!D16</f>
        <v>200</v>
      </c>
      <c r="O16" s="28">
        <f>Apartment13!D16</f>
        <v>100</v>
      </c>
      <c r="P16" s="28">
        <f>Apartment14!D16</f>
        <v>100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0</v>
      </c>
      <c r="M17" s="28">
        <f>Apartment11!D17</f>
        <v>0</v>
      </c>
      <c r="N17" s="28">
        <f>Apartment12!D17</f>
        <v>200</v>
      </c>
      <c r="O17" s="28">
        <f>Apartment13!D17</f>
        <v>100</v>
      </c>
      <c r="P17" s="28">
        <f>Apartment14!D17</f>
        <v>100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1" t="s">
        <v>47</v>
      </c>
      <c r="D2" s="111"/>
      <c r="E2" s="111"/>
      <c r="F2" s="111"/>
      <c r="G2" s="111"/>
      <c r="H2" s="111"/>
      <c r="I2" s="111"/>
      <c r="J2" s="111"/>
      <c r="K2" s="111"/>
      <c r="L2" s="111"/>
      <c r="M2" s="111"/>
      <c r="N2" s="111"/>
    </row>
    <row r="3" spans="1:14" ht="18.75">
      <c r="C3" s="90"/>
      <c r="G3" s="115" t="s">
        <v>94</v>
      </c>
      <c r="H3" s="115"/>
      <c r="I3" s="115"/>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1200</v>
      </c>
      <c r="D5" s="102"/>
      <c r="E5" s="104">
        <f>D5-C5</f>
        <v>-1200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1200</v>
      </c>
      <c r="D7" s="102"/>
      <c r="E7" s="104">
        <f t="shared" si="0"/>
        <v>-1200</v>
      </c>
      <c r="F7" s="2" t="s">
        <v>48</v>
      </c>
      <c r="G7" s="101"/>
      <c r="H7" s="102"/>
      <c r="I7" s="104">
        <f t="shared" si="1"/>
        <v>0</v>
      </c>
      <c r="J7" s="2"/>
    </row>
    <row r="8" spans="1:14" ht="18.75">
      <c r="A8" s="8">
        <v>4</v>
      </c>
      <c r="B8" s="20">
        <v>4</v>
      </c>
      <c r="C8" s="101">
        <f>Apartment4!D4</f>
        <v>1200</v>
      </c>
      <c r="D8" s="102"/>
      <c r="E8" s="104">
        <f t="shared" si="0"/>
        <v>-1200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2400</v>
      </c>
      <c r="D11" s="102"/>
      <c r="E11" s="104">
        <f t="shared" si="0"/>
        <v>-2400</v>
      </c>
      <c r="F11" s="2" t="s">
        <v>48</v>
      </c>
      <c r="G11" s="101"/>
      <c r="H11" s="102"/>
      <c r="I11" s="104">
        <f t="shared" si="1"/>
        <v>0</v>
      </c>
      <c r="J11" s="2"/>
    </row>
    <row r="12" spans="1:14" ht="18.75">
      <c r="A12" s="8">
        <v>8</v>
      </c>
      <c r="B12" s="20">
        <v>8</v>
      </c>
      <c r="C12" s="101">
        <f>Apartment8!D4</f>
        <v>2400</v>
      </c>
      <c r="D12" s="102"/>
      <c r="E12" s="104">
        <f t="shared" si="0"/>
        <v>-2400</v>
      </c>
      <c r="F12" s="2" t="s">
        <v>120</v>
      </c>
      <c r="G12" s="101"/>
      <c r="H12" s="102"/>
      <c r="I12" s="104">
        <f t="shared" si="1"/>
        <v>0</v>
      </c>
      <c r="J12" s="2"/>
    </row>
    <row r="13" spans="1:14" ht="18.75">
      <c r="A13" s="8">
        <v>9</v>
      </c>
      <c r="B13" s="20">
        <v>9</v>
      </c>
      <c r="C13" s="101">
        <f>Apartment9!D4</f>
        <v>1200</v>
      </c>
      <c r="D13" s="102"/>
      <c r="E13" s="104">
        <f t="shared" si="0"/>
        <v>-1200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1140</v>
      </c>
      <c r="D17" s="102"/>
      <c r="E17" s="104">
        <f t="shared" si="0"/>
        <v>-1140</v>
      </c>
      <c r="F17" s="2" t="s">
        <v>56</v>
      </c>
      <c r="G17" s="101"/>
      <c r="H17" s="102"/>
      <c r="I17" s="104">
        <f t="shared" si="1"/>
        <v>0</v>
      </c>
      <c r="J17" s="2"/>
    </row>
    <row r="18" spans="1:10" ht="18.75">
      <c r="A18" s="8">
        <v>14</v>
      </c>
      <c r="B18" s="20">
        <v>14</v>
      </c>
      <c r="C18" s="101">
        <f>Apartment14!D4</f>
        <v>1140</v>
      </c>
      <c r="D18" s="102"/>
      <c r="E18" s="104">
        <f t="shared" si="0"/>
        <v>-1140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K13" sqref="K13"/>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1" t="s">
        <v>21</v>
      </c>
      <c r="D2" s="111"/>
      <c r="E2" s="111"/>
      <c r="F2" s="111"/>
      <c r="G2" s="111"/>
      <c r="H2" s="111"/>
      <c r="I2" s="111"/>
      <c r="J2" s="111"/>
      <c r="K2" s="111"/>
      <c r="L2" s="111"/>
      <c r="M2" s="111"/>
      <c r="N2" s="111"/>
      <c r="O2" s="111"/>
      <c r="P2" s="111"/>
      <c r="Q2" s="111"/>
    </row>
    <row r="3" spans="1:17" ht="57.75">
      <c r="C3" s="97"/>
      <c r="D3" s="18" t="s">
        <v>8</v>
      </c>
      <c r="E3" s="18"/>
      <c r="F3" s="18" t="s">
        <v>18</v>
      </c>
      <c r="G3" s="1"/>
      <c r="H3" s="1"/>
      <c r="I3" s="1"/>
      <c r="J3" s="1"/>
      <c r="K3" s="1"/>
      <c r="L3" s="1"/>
      <c r="M3" s="1"/>
      <c r="N3" s="1"/>
      <c r="O3" s="1"/>
      <c r="P3" s="1"/>
      <c r="Q3" s="1"/>
    </row>
    <row r="4" spans="1:17" ht="18.75">
      <c r="C4" s="69"/>
      <c r="D4" s="11">
        <f>SUM(D6:D2001)</f>
        <v>1140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52" t="s">
        <v>108</v>
      </c>
      <c r="H16" s="2"/>
      <c r="I16" s="2"/>
      <c r="J16" s="2"/>
      <c r="K16" s="2"/>
      <c r="L16" s="2"/>
      <c r="M16" s="2"/>
    </row>
    <row r="17" spans="1:13" ht="18.75">
      <c r="A17" s="8">
        <v>12</v>
      </c>
      <c r="B17" s="8">
        <v>12</v>
      </c>
      <c r="C17" s="58">
        <v>46006</v>
      </c>
      <c r="D17" s="35">
        <v>100</v>
      </c>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20</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C13" sqref="C13: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1" t="s">
        <v>114</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1140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46006</v>
      </c>
      <c r="D13" s="35">
        <v>100</v>
      </c>
      <c r="E13" s="8"/>
      <c r="F13" s="52">
        <v>100</v>
      </c>
      <c r="G13" s="8" t="s">
        <v>105</v>
      </c>
      <c r="H13" s="2"/>
      <c r="I13" s="2"/>
      <c r="J13" s="2"/>
      <c r="K13" s="2"/>
      <c r="L13" s="2"/>
      <c r="M13" s="2"/>
    </row>
    <row r="14" spans="1:17" ht="18.75">
      <c r="A14" s="8">
        <v>9</v>
      </c>
      <c r="B14" s="8">
        <v>9</v>
      </c>
      <c r="C14" s="58">
        <v>46006</v>
      </c>
      <c r="D14" s="35">
        <v>100</v>
      </c>
      <c r="E14" s="8"/>
      <c r="F14" s="52">
        <v>100</v>
      </c>
      <c r="G14" s="8" t="s">
        <v>106</v>
      </c>
      <c r="H14" s="2"/>
      <c r="I14" s="2"/>
      <c r="J14" s="2"/>
      <c r="K14" s="2"/>
      <c r="L14" s="2"/>
      <c r="M14" s="2"/>
    </row>
    <row r="15" spans="1:17" ht="18.75">
      <c r="A15" s="8">
        <v>10</v>
      </c>
      <c r="B15" s="8">
        <v>10</v>
      </c>
      <c r="C15" s="58">
        <v>46006</v>
      </c>
      <c r="D15" s="35">
        <v>100</v>
      </c>
      <c r="E15" s="8"/>
      <c r="F15" s="52">
        <v>100</v>
      </c>
      <c r="G15" s="8" t="s">
        <v>107</v>
      </c>
      <c r="H15" s="2"/>
      <c r="I15" s="2"/>
      <c r="J15" s="2"/>
      <c r="K15" s="2"/>
      <c r="L15" s="2"/>
      <c r="M15" s="2"/>
    </row>
    <row r="16" spans="1:17" ht="18.75">
      <c r="A16" s="8">
        <v>11</v>
      </c>
      <c r="B16" s="8">
        <v>11</v>
      </c>
      <c r="C16" s="58">
        <v>46006</v>
      </c>
      <c r="D16" s="35">
        <v>100</v>
      </c>
      <c r="E16" s="8"/>
      <c r="F16" s="52">
        <v>100</v>
      </c>
      <c r="G16" s="8" t="s">
        <v>108</v>
      </c>
      <c r="H16" s="2"/>
      <c r="I16" s="2"/>
      <c r="J16" s="2"/>
      <c r="K16" s="2"/>
      <c r="L16" s="2"/>
      <c r="M16" s="2"/>
    </row>
    <row r="17" spans="1:17" ht="18.75">
      <c r="A17" s="8">
        <v>12</v>
      </c>
      <c r="B17" s="8">
        <v>12</v>
      </c>
      <c r="C17" s="58">
        <v>46006</v>
      </c>
      <c r="D17" s="35">
        <v>100</v>
      </c>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6" t="s">
        <v>118</v>
      </c>
      <c r="J20" s="116"/>
      <c r="K20" s="116"/>
      <c r="L20" s="116"/>
      <c r="M20" s="116"/>
      <c r="N20" s="116"/>
    </row>
    <row r="21" spans="1:17" ht="23.25">
      <c r="A21" s="8"/>
      <c r="B21" s="8"/>
      <c r="C21" s="58"/>
      <c r="D21" s="35"/>
      <c r="E21" s="8"/>
      <c r="F21" s="8"/>
      <c r="G21" s="8"/>
      <c r="H21" s="2"/>
      <c r="I21" s="116" t="s">
        <v>295</v>
      </c>
      <c r="J21" s="116"/>
      <c r="K21" s="116"/>
      <c r="L21" s="116"/>
      <c r="M21" s="116"/>
      <c r="N21" s="116"/>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7"/>
      <c r="K23" s="117"/>
      <c r="L23" s="117"/>
      <c r="M23" s="117"/>
      <c r="N23" s="117"/>
      <c r="O23" s="117"/>
      <c r="P23" s="117"/>
      <c r="Q23" s="51"/>
    </row>
    <row r="24" spans="1:17" ht="18.75">
      <c r="A24" s="8"/>
      <c r="B24" s="8"/>
      <c r="C24" s="58"/>
      <c r="D24" s="35"/>
      <c r="E24" s="8"/>
      <c r="F24" s="8"/>
      <c r="G24" s="8">
        <v>1</v>
      </c>
      <c r="H24" s="8"/>
      <c r="I24" s="8"/>
      <c r="J24" s="117"/>
      <c r="K24" s="117"/>
      <c r="L24" s="117"/>
      <c r="M24" s="117"/>
      <c r="N24" s="117"/>
      <c r="O24" s="117"/>
      <c r="P24" s="117"/>
      <c r="Q24" s="51"/>
    </row>
    <row r="25" spans="1:17" ht="36" customHeight="1">
      <c r="A25" s="8"/>
      <c r="B25" s="8"/>
      <c r="C25" s="58"/>
      <c r="D25" s="35"/>
      <c r="E25" s="8"/>
      <c r="F25" s="8"/>
      <c r="G25" s="54">
        <v>2</v>
      </c>
      <c r="H25" s="54"/>
      <c r="I25" s="54"/>
      <c r="J25" s="117"/>
      <c r="K25" s="117"/>
      <c r="L25" s="117"/>
      <c r="M25" s="117"/>
      <c r="N25" s="117"/>
      <c r="O25" s="117"/>
      <c r="P25" s="117"/>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22</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1" t="s">
        <v>23</v>
      </c>
      <c r="D2" s="111"/>
      <c r="E2" s="111"/>
      <c r="F2" s="111"/>
      <c r="G2" s="111"/>
      <c r="H2" s="111"/>
      <c r="I2" s="111"/>
      <c r="J2" s="111"/>
      <c r="K2" s="111"/>
      <c r="L2" s="111"/>
      <c r="M2" s="111"/>
      <c r="N2" s="111"/>
      <c r="O2" s="111"/>
      <c r="P2" s="111"/>
      <c r="Q2" s="111"/>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1" t="s">
        <v>24</v>
      </c>
      <c r="D2" s="111"/>
      <c r="E2" s="111"/>
      <c r="F2" s="111"/>
      <c r="G2" s="111"/>
      <c r="H2" s="111"/>
      <c r="I2" s="111"/>
      <c r="J2" s="111"/>
      <c r="K2" s="111"/>
      <c r="L2" s="111"/>
      <c r="M2" s="111"/>
      <c r="N2" s="111"/>
      <c r="O2" s="111"/>
      <c r="P2" s="111"/>
      <c r="Q2" s="111"/>
    </row>
    <row r="3" spans="1:22" ht="57.75">
      <c r="C3" s="64"/>
      <c r="D3" s="18" t="s">
        <v>8</v>
      </c>
      <c r="E3" s="18"/>
      <c r="F3" s="18" t="s">
        <v>18</v>
      </c>
      <c r="G3" s="1"/>
      <c r="H3" s="1"/>
      <c r="I3" s="1"/>
      <c r="J3" s="1"/>
      <c r="K3" s="1"/>
      <c r="L3" s="1"/>
      <c r="M3" s="1"/>
      <c r="N3" s="1"/>
      <c r="O3" s="112" t="s">
        <v>97</v>
      </c>
      <c r="P3" s="112"/>
      <c r="Q3" s="112"/>
      <c r="R3" s="112"/>
      <c r="S3" s="112"/>
      <c r="T3" s="112"/>
      <c r="U3" s="112"/>
      <c r="V3" s="112"/>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8" t="s">
        <v>77</v>
      </c>
      <c r="S5" s="119"/>
      <c r="T5" s="119"/>
      <c r="U5" s="120"/>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1"/>
      <c r="S12" s="122"/>
      <c r="T12" s="122"/>
      <c r="U12" s="123"/>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115</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229</v>
      </c>
      <c r="H16" s="2"/>
      <c r="I16" s="2"/>
      <c r="J16" s="2"/>
      <c r="K16" s="2"/>
      <c r="L16" s="2"/>
      <c r="M16" s="2"/>
    </row>
    <row r="17" spans="1:13" ht="18.75">
      <c r="A17" s="8">
        <v>12</v>
      </c>
      <c r="B17" s="8">
        <v>12</v>
      </c>
      <c r="C17" s="84">
        <v>45992</v>
      </c>
      <c r="D17" s="35">
        <v>200</v>
      </c>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1" t="s">
        <v>25</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45993</v>
      </c>
      <c r="D17" s="35">
        <v>200</v>
      </c>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1" t="s">
        <v>116</v>
      </c>
      <c r="D2" s="111"/>
      <c r="E2" s="111"/>
      <c r="F2" s="111"/>
      <c r="G2" s="111"/>
      <c r="H2" s="111"/>
      <c r="I2" s="111"/>
      <c r="J2" s="111"/>
      <c r="K2" s="111"/>
      <c r="L2" s="111"/>
      <c r="M2" s="111"/>
      <c r="N2" s="111"/>
      <c r="O2" s="111"/>
      <c r="P2" s="111"/>
      <c r="Q2" s="111"/>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28</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53">
        <v>45993</v>
      </c>
      <c r="D17" s="8">
        <v>100</v>
      </c>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1" t="s">
        <v>27</v>
      </c>
      <c r="D2" s="111"/>
      <c r="E2" s="111"/>
      <c r="F2" s="111"/>
      <c r="G2" s="111"/>
      <c r="H2" s="111"/>
      <c r="I2" s="111"/>
      <c r="J2" s="111"/>
      <c r="K2" s="111"/>
      <c r="L2" s="111"/>
      <c r="M2" s="111"/>
      <c r="N2" s="111"/>
      <c r="O2" s="111"/>
      <c r="P2" s="111"/>
      <c r="Q2" s="111"/>
    </row>
    <row r="3" spans="1:17" ht="57.75">
      <c r="C3" s="107"/>
      <c r="D3" s="18" t="s">
        <v>8</v>
      </c>
      <c r="E3" s="18"/>
      <c r="F3" s="18" t="s">
        <v>18</v>
      </c>
      <c r="G3" s="106"/>
      <c r="H3" s="106"/>
      <c r="I3" s="106"/>
      <c r="J3" s="106"/>
      <c r="K3" s="106"/>
      <c r="L3" s="106"/>
      <c r="M3" s="106"/>
      <c r="N3" s="106"/>
      <c r="O3" s="106"/>
      <c r="P3" s="106"/>
      <c r="Q3" s="106"/>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v>100</v>
      </c>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1" t="s">
        <v>29</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16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45995</v>
      </c>
      <c r="D15" s="80">
        <v>100</v>
      </c>
      <c r="E15" s="8"/>
      <c r="F15" s="80">
        <v>100</v>
      </c>
      <c r="G15" s="52" t="s">
        <v>243</v>
      </c>
      <c r="H15" s="2"/>
      <c r="I15" s="2"/>
      <c r="J15" s="2"/>
      <c r="K15" s="2"/>
      <c r="L15" s="2"/>
      <c r="M15" s="2"/>
    </row>
    <row r="16" spans="1:17" ht="18.75">
      <c r="A16" s="8">
        <v>11</v>
      </c>
      <c r="B16" s="80">
        <v>11</v>
      </c>
      <c r="C16" s="84">
        <v>45995</v>
      </c>
      <c r="D16" s="80">
        <v>100</v>
      </c>
      <c r="E16" s="8"/>
      <c r="F16" s="80">
        <v>100</v>
      </c>
      <c r="G16" s="52" t="s">
        <v>244</v>
      </c>
      <c r="H16" s="2"/>
      <c r="I16" s="2"/>
      <c r="J16" s="2"/>
      <c r="K16" s="2"/>
      <c r="L16" s="2"/>
      <c r="M16" s="2"/>
    </row>
    <row r="17" spans="1:13" ht="18.75">
      <c r="A17" s="8">
        <v>12</v>
      </c>
      <c r="B17" s="80">
        <v>12</v>
      </c>
      <c r="C17" s="84">
        <v>45995</v>
      </c>
      <c r="D17" s="80">
        <v>100</v>
      </c>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64" workbookViewId="0">
      <selection activeCell="G69" sqref="G69"/>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09" t="s">
        <v>193</v>
      </c>
      <c r="C2" s="109" t="s">
        <v>194</v>
      </c>
      <c r="D2" s="109" t="s">
        <v>195</v>
      </c>
      <c r="E2" s="109" t="s">
        <v>196</v>
      </c>
      <c r="F2" s="109" t="s">
        <v>197</v>
      </c>
      <c r="G2" s="109" t="s">
        <v>198</v>
      </c>
      <c r="H2" s="109" t="s">
        <v>199</v>
      </c>
      <c r="I2" s="109" t="s">
        <v>200</v>
      </c>
      <c r="J2" s="109" t="s">
        <v>201</v>
      </c>
      <c r="K2" s="109" t="s">
        <v>202</v>
      </c>
      <c r="L2" s="109" t="s">
        <v>203</v>
      </c>
      <c r="M2" s="109" t="s">
        <v>204</v>
      </c>
      <c r="N2" s="109" t="s">
        <v>205</v>
      </c>
      <c r="O2" s="109" t="s">
        <v>206</v>
      </c>
      <c r="P2" s="109" t="s">
        <v>207</v>
      </c>
      <c r="Q2" s="109" t="s">
        <v>208</v>
      </c>
    </row>
    <row r="3" spans="1:17" ht="26.25">
      <c r="B3" s="109" t="s">
        <v>0</v>
      </c>
      <c r="C3" s="109"/>
      <c r="D3" s="109"/>
      <c r="E3" s="109"/>
      <c r="F3" s="109"/>
      <c r="G3" s="109"/>
      <c r="H3" s="109"/>
      <c r="I3" s="109"/>
      <c r="J3" s="109"/>
      <c r="K3" s="109"/>
      <c r="L3" s="109"/>
      <c r="M3" s="109"/>
      <c r="N3" s="109"/>
      <c r="O3" s="109"/>
      <c r="P3" s="109"/>
      <c r="Q3" s="109"/>
    </row>
    <row r="4" spans="1:17" ht="18.75">
      <c r="B4" s="56" t="s">
        <v>9</v>
      </c>
      <c r="C4" s="60">
        <f>SUM(C6:C2000)</f>
        <v>21880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v>45993</v>
      </c>
      <c r="C63" s="62">
        <v>200</v>
      </c>
      <c r="E63" s="52" t="s">
        <v>48</v>
      </c>
      <c r="F63" s="52">
        <v>7</v>
      </c>
      <c r="G63" s="52" t="s">
        <v>230</v>
      </c>
      <c r="H63" s="51"/>
      <c r="I63" s="51"/>
      <c r="J63" s="51"/>
      <c r="K63" s="51"/>
      <c r="L63" s="51"/>
      <c r="M63" s="51"/>
      <c r="N63" s="51"/>
      <c r="O63" s="51"/>
      <c r="P63" s="51"/>
      <c r="Q63" s="51"/>
    </row>
    <row r="64" spans="1:17" ht="18.75">
      <c r="A64" s="52">
        <v>59</v>
      </c>
      <c r="B64" s="58">
        <v>45993</v>
      </c>
      <c r="C64" s="62">
        <v>100</v>
      </c>
      <c r="D64" s="52"/>
      <c r="E64" s="52" t="s">
        <v>215</v>
      </c>
      <c r="F64" s="52">
        <v>4</v>
      </c>
      <c r="G64" s="52" t="s">
        <v>230</v>
      </c>
      <c r="H64" s="51"/>
      <c r="I64" s="51"/>
      <c r="J64" s="51"/>
      <c r="K64" s="51"/>
      <c r="L64" s="51"/>
      <c r="M64" s="51"/>
      <c r="N64" s="51"/>
      <c r="O64" s="51"/>
      <c r="P64" s="51"/>
      <c r="Q64" s="51"/>
    </row>
    <row r="65" spans="1:17" ht="18.75">
      <c r="A65" s="52">
        <v>60</v>
      </c>
      <c r="B65" s="58">
        <v>45993</v>
      </c>
      <c r="C65" s="62">
        <v>100</v>
      </c>
      <c r="D65" s="52"/>
      <c r="E65" s="52" t="s">
        <v>143</v>
      </c>
      <c r="F65" s="52">
        <v>3</v>
      </c>
      <c r="G65" s="52" t="s">
        <v>230</v>
      </c>
      <c r="H65" s="51"/>
      <c r="I65" s="51"/>
      <c r="J65" s="51"/>
      <c r="K65" s="51"/>
      <c r="L65" s="51"/>
      <c r="M65" s="51"/>
      <c r="N65" s="51"/>
      <c r="O65" s="51"/>
      <c r="P65" s="51"/>
      <c r="Q65" s="51"/>
    </row>
    <row r="66" spans="1:17" ht="18.75">
      <c r="A66" s="52">
        <v>61</v>
      </c>
      <c r="B66" s="58">
        <v>45992</v>
      </c>
      <c r="C66" s="62">
        <v>600</v>
      </c>
      <c r="D66" s="52"/>
      <c r="E66" s="52" t="s">
        <v>220</v>
      </c>
      <c r="F66" s="52">
        <v>8</v>
      </c>
      <c r="G66" s="52" t="s">
        <v>337</v>
      </c>
      <c r="H66" s="51"/>
      <c r="I66" s="51"/>
      <c r="J66" s="51"/>
      <c r="K66" s="51"/>
      <c r="L66" s="51"/>
      <c r="M66" s="51"/>
      <c r="N66" s="51"/>
      <c r="O66" s="51"/>
      <c r="P66" s="51"/>
      <c r="Q66" s="51"/>
    </row>
    <row r="67" spans="1:17" ht="18.75">
      <c r="A67" s="52">
        <v>62</v>
      </c>
      <c r="B67" s="58">
        <v>45995</v>
      </c>
      <c r="C67" s="62">
        <v>300</v>
      </c>
      <c r="D67" s="52"/>
      <c r="E67" s="52" t="s">
        <v>188</v>
      </c>
      <c r="F67" s="52">
        <v>1</v>
      </c>
      <c r="G67" s="52" t="s">
        <v>338</v>
      </c>
      <c r="H67" s="51"/>
      <c r="I67" s="51"/>
      <c r="J67" s="51"/>
      <c r="K67" s="51"/>
      <c r="L67" s="51"/>
      <c r="M67" s="51"/>
      <c r="N67" s="51"/>
      <c r="O67" s="51"/>
      <c r="P67" s="51"/>
      <c r="Q67" s="51"/>
    </row>
    <row r="68" spans="1:17" ht="18.75">
      <c r="A68" s="52">
        <v>63</v>
      </c>
      <c r="B68" s="58">
        <v>45994</v>
      </c>
      <c r="C68" s="62">
        <v>600</v>
      </c>
      <c r="D68" s="52"/>
      <c r="E68" s="52" t="s">
        <v>186</v>
      </c>
      <c r="F68" s="52">
        <v>9</v>
      </c>
      <c r="G68" s="52" t="s">
        <v>339</v>
      </c>
      <c r="H68" s="51"/>
      <c r="I68" s="51"/>
      <c r="J68" s="51"/>
      <c r="K68" s="51"/>
      <c r="L68" s="51"/>
      <c r="M68" s="51"/>
      <c r="N68" s="51"/>
      <c r="O68" s="51"/>
      <c r="P68" s="51"/>
      <c r="Q68" s="51"/>
    </row>
    <row r="69" spans="1:17" ht="18.75">
      <c r="A69" s="52">
        <v>64</v>
      </c>
      <c r="B69" s="58">
        <v>46006</v>
      </c>
      <c r="C69" s="62">
        <v>1000</v>
      </c>
      <c r="D69" s="52"/>
      <c r="E69" s="52" t="s">
        <v>271</v>
      </c>
      <c r="F69" s="52" t="s">
        <v>272</v>
      </c>
      <c r="G69" s="52" t="s">
        <v>342</v>
      </c>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tabSelected="1" workbookViewId="0">
      <selection activeCell="N8" sqref="N8"/>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1" t="s">
        <v>13</v>
      </c>
      <c r="C2" s="111"/>
      <c r="D2" s="111"/>
      <c r="E2" s="111"/>
      <c r="F2" s="111"/>
      <c r="G2" s="111"/>
      <c r="H2" s="111"/>
      <c r="I2" s="111"/>
      <c r="J2" s="111"/>
      <c r="K2" s="111"/>
      <c r="L2" s="111"/>
      <c r="M2" s="111"/>
      <c r="N2" s="111"/>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21880</v>
      </c>
      <c r="D5" s="78">
        <f>outcomes!C3</f>
        <v>25029</v>
      </c>
      <c r="E5" s="79">
        <f>(C3+C5)-D5</f>
        <v>2454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opLeftCell="A82" workbookViewId="0">
      <selection activeCell="E101" sqref="E10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1" t="s">
        <v>10</v>
      </c>
      <c r="C2" s="111"/>
      <c r="D2" s="111"/>
      <c r="E2" s="111"/>
      <c r="F2" s="111"/>
      <c r="G2" s="111"/>
      <c r="H2" s="111"/>
      <c r="I2" s="111"/>
      <c r="J2" s="111"/>
      <c r="K2" s="111"/>
      <c r="L2" s="111"/>
      <c r="M2" s="111"/>
      <c r="N2" s="111"/>
    </row>
    <row r="3" spans="1:20" ht="18.75">
      <c r="B3" s="65" t="s">
        <v>12</v>
      </c>
      <c r="C3" s="60">
        <f>SUM(C5:C2002)</f>
        <v>25029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8">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0">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340</v>
      </c>
    </row>
    <row r="90" spans="1:4" ht="18.75">
      <c r="A90" s="35">
        <v>86</v>
      </c>
      <c r="B90" s="67">
        <v>45984</v>
      </c>
      <c r="C90" s="62">
        <v>100</v>
      </c>
      <c r="D90" s="52" t="s">
        <v>332</v>
      </c>
    </row>
    <row r="91" spans="1:4" ht="18.75">
      <c r="A91" s="35">
        <v>87</v>
      </c>
      <c r="B91" s="67">
        <v>45992</v>
      </c>
      <c r="C91" s="62">
        <v>500</v>
      </c>
      <c r="D91" s="52" t="s">
        <v>336</v>
      </c>
    </row>
    <row r="92" spans="1:4" ht="18.75">
      <c r="A92" s="35">
        <v>88</v>
      </c>
      <c r="B92" s="67">
        <v>46001</v>
      </c>
      <c r="C92" s="62">
        <v>930</v>
      </c>
      <c r="D92" s="52" t="s">
        <v>341</v>
      </c>
    </row>
    <row r="93" spans="1:4" ht="18.75">
      <c r="A93" s="35">
        <v>89</v>
      </c>
      <c r="B93" s="67">
        <v>46005</v>
      </c>
      <c r="C93" s="62">
        <v>1400</v>
      </c>
      <c r="D93" s="52" t="s">
        <v>343</v>
      </c>
    </row>
    <row r="94" spans="1:4" ht="18.75">
      <c r="A94" s="35">
        <v>90</v>
      </c>
      <c r="B94" s="67">
        <v>46006</v>
      </c>
      <c r="C94" s="62">
        <v>2500</v>
      </c>
      <c r="D94" s="52" t="s">
        <v>344</v>
      </c>
    </row>
    <row r="95" spans="1:4" ht="18.75">
      <c r="A95" s="35">
        <v>91</v>
      </c>
      <c r="B95" s="67">
        <v>46006</v>
      </c>
      <c r="C95" s="62">
        <v>190</v>
      </c>
      <c r="D95" s="52" t="s">
        <v>345</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2025-12-15T16:16:44Z</dcterms:modified>
</cp:coreProperties>
</file>