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1" activeTab="22"/>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<sst xmlns="http://schemas.openxmlformats.org/spreadsheetml/2006/main" count="899" uniqueCount="336">
  <si>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</si>
  <si>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</si>
  <si>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</si>
  <si>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</si>
  <si>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</si>
  <si>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</si>
  <si>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</si>
  <si>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</si>
  <si>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</si>
  <si>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</si>
  <si>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</si>
  <si>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</si>
  <si>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</si>
  <si>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</si>
  <si>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</si>
  <si>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</si>
  <si>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</si>
  <si>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</si>
  <si>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</si>
  <si>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</si>
  <si>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</si>
  <si>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</si>
  <si>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</si>
  <si>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</si>
  <si>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</si>
  <si>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</si>
  <si>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</si>
  <si>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</si>
  <si>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</si>
  <si>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</si>
  <si>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</si>
  <si>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</si>
  <si>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</si>
  <si>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</si>
  <si>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</si>
  <si>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</si>
  <si>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</si>
  <si>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</si>
  <si>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</si>
  <si>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</si>
  <si>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</si>
  <si>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</si>
  <si>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</si>
  <si>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</si>
  <si>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</si>
  <si>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</si>
  <si>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</si>
  <si>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</si>
  <si>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</si>
  <si>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</si>
  <si>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</si>
  <si>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</si>
  <si>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</si>
  <si>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</si>
  <si>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</si>
  <si>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</si>
  <si>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</si>
  <si>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</si>
  <si>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</si>
  <si>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</si>
  <si>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</si>
  <si>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</si>
  <si>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</si>
  <si>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</si>
  <si>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</si>
  <si>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</si>
  <si>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</si>
  <si>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</si>
  <si>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</si>
  <si>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</si>
  <si>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</si>
  <si>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</si>
  <si>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</si>
  <si>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</si>
  <si>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</si>
  <si>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</si>
  <si>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</si>
  <si>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</si>
  <si>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</si>
  <si>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</si>
  <si>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</si>
  <si>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</si>
  <si>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</si>
  <si>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</si>
  <si>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</si>
  <si>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</si>
  <si>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</si>
  <si>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</si>
  <si>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</si>
  <si>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</si>
  <si>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</si>
  <si>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</si>
  <si>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</si>
  <si>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</si>
  <si>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</si>
  <si>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</si>
  <si>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</si>
  <si>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</si>
  <si>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</si>
  <si>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</si>
  <si>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</si>
  <si>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</si>
  <si>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</si>
  <si>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</si>
  <si>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</si>
  <si>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</si>
  <si>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</si>
  <si>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</si>
  <si>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</si>
  <si>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</si>
  <si>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</si>
  <si>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</si>
  <si>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</si>
  <si>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</si>
  <si>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</si>
  <si>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</si>
  <si>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</si>
  <si>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</si>
  <si>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</si>
  <si>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</si>
  <si>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</si>
  <si>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</si>
  <si>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</si>
  <si>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</si>
  <si>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</si>
  <si>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</si>
  <si>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</si>
  <si>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</si>
  <si>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</si>
  <si>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</si>
  <si>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</si>
  <si>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</si>
  <si>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</si>
  <si>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</si>
  <si>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</si>
  <si>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</si>
  <si>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</si>
  <si>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</si>
  <si>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</si>
  <si>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</si>
  <si>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</si>
  <si>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</si>
  <si>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</si>
  <si>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</si>
  <si>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</si>
  <si>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</si>
  <si>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</si>
  <si>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</si>
  <si>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</si>
  <si>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</si>
  <si>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</si>
  <si>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</si>
  <si>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</si>
  <si>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</si>
  <si>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</si>
  <si>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</si>
  <si>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</si>
  <si>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</si>
  <si>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</si>
  <si>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</si>
  <si>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</si>
  <si>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</si>
  <si>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</si>
  <si>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</si>
  <si>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</si>
  <si>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</si>
  <si>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</si>
  <si>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</si>
  <si>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</si>
  <si>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</si>
  <si>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</si>
  <si>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</si>
  <si>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</si>
  <si>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</si>
  <si>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</si>
  <si>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</si>
  <si>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</si>
  <si>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</si>
  <si>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</si>
  <si>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</si>
  <si>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</si>
  <si>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</si>
  <si>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</si>
  <si>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</si>
  <si>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</si>
  <si>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</si>
  <si>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</si>
  <si>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</si>
  <si>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</si>
  <si>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</si>
  <si>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</si>
  <si>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</si>
  <si>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</si>
  <si>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</si>
  <si>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</si>
  <si>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</si>
  <si>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</si>
  <si>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</si>
  <si>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</si>
  <si>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</si>
  <si>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</si>
  <si>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</si>
  <si>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</si>
  <si>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</si>
  <si>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</si>
  <si>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</si>
  <si>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</si>
  <si>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</si>
  <si>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</si>
  <si>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</si>
  <si>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</si>
  <si>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</si>
  <si>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</si>
  <si>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</si>
  <si>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</si>
  <si>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</si>
  <si>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</si>
  <si>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</si>
  <si>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</si>
  <si>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</si>
  <si>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</si>
  <si>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</si>
  <si>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</si>
  <si>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</si>
  <si>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</si>
  <si>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</si>
  <si>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</si>
  <si>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</si>
  <si>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</si>
  <si>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</si>
  <si>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</si>
  <si>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</si>
  <si>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</si>
  <si>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</si>
  <si>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</si>
  <si>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</si>
  <si>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</si>
  <si>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</si>
  <si>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</si>
  <si>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</si>
  <si>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</si>
  <si>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</si>
  <si>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</si>
  <si>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</si>
  <si>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</si>
  <si>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</si>
  <si>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</si>
  <si>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</si>
  <si>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</si>
  <si>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</si>
  <si>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</si>
  <si>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</si>
  <si>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</si>
  <si>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</si>
  <si>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</si>
  <si>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</si>
  <si>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</si>
  <si>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</si>
  <si>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</si>
  <si>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</si>
  <si>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</si>
  <si>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</si>
  <si>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</si>
  <si>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</si>
  <si>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</si>
  <si>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</si>
  <si>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</si>
  <si>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</si>
  <si>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</si>
  <si>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</si>
  <si>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</si>
  <si>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</si>
  <si>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</si>
  <si>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</si>
  <si>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</si>
  <si>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</si>
  <si>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</si>
  <si>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</si>
  <si>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</si>
  <si>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</si>
  <si>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</si>
  <si>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</si>
  <si>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</si>
  <si>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</si>
  <si>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</si>
  <si>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</si>
  <si>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</si>
  <si>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</si>
  <si>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</si>
  <si>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</si>
  <si>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</si>
  <si>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</si>
  <si>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</si>
  <si>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</si>
  <si>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</si>
  <si>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</si>
  <si>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</si>
  <si>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</si>
  <si>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</si>
  <si>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</si>
  <si>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</si>
  <si>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</si>
  <si>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</si>
  <si>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</si>
  <si>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</si>
  <si>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</si>
  <si>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</si>
  <si>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</si>
  <si>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</si>
  <si>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</si>
  <si>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</si>
  <si>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</si>
  <si>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</si>
  <si>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</si>
  <si>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</si>
  <si>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</si>
  <si>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</si>
  <si>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</si>
  <si>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</si>
  <si>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</si>
  <si>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</si>
  <si>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</si>
  <si>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</si>
  <si>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</si>
  <si>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</si>
  <si>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</si>
  <si>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</si>
  <si>
    <t>تحت حساب شراء لمبتين 25 وات لمدخل العمارة</t>
  </si>
  <si>
    <t>تحت حساب كهرباء شهر نوفمبر /2025</t>
  </si>
  <si>
    <t>اكرامية المحصل</t>
  </si>
  <si>
    <t>تحت حساب شراء 5 لمبات لد 9 وات  و 5 لمبات لد 40 وات  الواحدة ب 20 جنيه عن طريق ام احمد</t>
  </si>
  <si>
    <t>تحت حساب شراء 5 لمبات لد 9 وات الواحدة ب 10 جنيه عن طريق ام احمد</t>
  </si>
  <si>
    <t>تحت حساب مصنعية كهربائى لتصليح وتركيب لمبة لد بالدور الثانى والرابع بعد الارضى</t>
  </si>
  <si>
    <t>تحت حساب صيانة شهرى نوفمبر وديسمبر /2025</t>
  </si>
  <si>
    <t>تحت حساب صيانة سنة 2025 بالكامل ولم يتم حساب صيانة شقة  10 بالدور الثالث</t>
  </si>
  <si>
    <t>تحت حساب صيانة شهرى اغسطس و سبتمبر /2025</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</si>
</sst>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5">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3" fillId="0" borderId="0" xfId="0" applyNumberFormat="1" applyFont="1" applyAlignment="1">
      <alignment horizontal="center" readingOrder="2"/>
    </xf>
    <xf numFmtId="164" fontId="17" fillId="0" borderId="0" xfId="0" applyNumberFormat="1" applyFont="1" applyAlignment="1">
      <alignment horizontal="left" vertical="top" readingOrder="2"/>
    </xf>
    <xf numFmtId="0" fontId="2" fillId="0" borderId="0" xfId="0" applyFont="1" applyAlignment="1">
      <alignment horizontal="center"/>
    </xf>
    <xf numFmtId="0" fontId="12" fillId="0" borderId="0" xfId="0" applyFont="1" applyAlignment="1">
      <alignment horizontal="left" readingOrder="2"/>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59198208"/>
        <c:axId val="159232768"/>
      </c:barChart>
      <c:dateAx>
        <c:axId val="159198208"/>
        <c:scaling>
          <c:orientation val="minMax"/>
        </c:scaling>
        <c:axPos val="b"/>
        <c:numFmt formatCode="[$-1010000]yyyy/mm/dd;@" sourceLinked="1"/>
        <c:tickLblPos val="nextTo"/>
        <c:crossAx val="159232768"/>
        <c:crosses val="autoZero"/>
        <c:auto val="1"/>
        <c:lblOffset val="100"/>
      </c:dateAx>
      <c:valAx>
        <c:axId val="159232768"/>
        <c:scaling>
          <c:orientation val="minMax"/>
        </c:scaling>
        <c:axPos val="l"/>
        <c:majorGridlines/>
        <c:numFmt formatCode="General" sourceLinked="1"/>
        <c:tickLblPos val="nextTo"/>
        <c:crossAx val="159198208"/>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2" t="s">
        <v>117</v>
      </c>
      <c r="D2" s="112"/>
      <c r="E2" s="112"/>
      <c r="F2" s="112"/>
      <c r="G2" s="112"/>
      <c r="H2" s="112"/>
      <c r="I2" s="112"/>
      <c r="J2" s="112"/>
      <c r="K2" s="112"/>
      <c r="L2" s="112"/>
      <c r="M2" s="112"/>
      <c r="N2" s="112"/>
      <c r="O2" s="112"/>
      <c r="P2" s="112"/>
      <c r="Q2" s="112"/>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3" t="s">
        <v>257</v>
      </c>
      <c r="D2" s="113"/>
      <c r="E2" s="113"/>
      <c r="F2" s="113"/>
      <c r="G2" s="113"/>
      <c r="H2" s="113"/>
      <c r="I2" s="113"/>
      <c r="J2" s="113"/>
      <c r="K2" s="113"/>
      <c r="L2" s="113"/>
      <c r="M2" s="113"/>
      <c r="N2" s="113"/>
      <c r="O2" s="19"/>
    </row>
    <row r="3" spans="1:17" ht="21">
      <c r="C3" s="90"/>
      <c r="F3" s="114" t="s">
        <v>250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3" t="s">
        <v>187</v>
      </c>
      <c r="D2" s="113"/>
      <c r="E2" s="113"/>
      <c r="F2" s="113"/>
      <c r="G2" s="113"/>
      <c r="H2" s="113"/>
      <c r="I2" s="113"/>
      <c r="J2" s="113"/>
      <c r="K2" s="113"/>
      <c r="L2" s="113"/>
      <c r="M2" s="113"/>
      <c r="N2" s="113"/>
      <c r="O2" s="19"/>
    </row>
    <row r="3" spans="1:17" ht="21">
      <c r="C3" s="90"/>
      <c r="F3" s="114" t="s">
        <v>190</v>
      </c>
      <c r="G3" s="114"/>
      <c r="H3" s="114"/>
      <c r="I3" s="114"/>
      <c r="J3" s="114"/>
      <c r="K3" s="114"/>
      <c r="L3" s="114"/>
      <c r="M3" s="114"/>
      <c r="N3" s="114"/>
      <c r="O3" s="114"/>
      <c r="P3" s="114"/>
      <c r="Q3" s="114"/>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2" t="s">
        <v>36</v>
      </c>
      <c r="C2" s="112"/>
      <c r="D2" s="112"/>
      <c r="E2" s="112"/>
      <c r="F2" s="112"/>
      <c r="G2" s="112"/>
      <c r="H2" s="112"/>
      <c r="I2" s="112"/>
      <c r="J2" s="112"/>
      <c r="K2" s="112"/>
      <c r="L2" s="112"/>
      <c r="M2" s="112"/>
      <c r="N2" s="112"/>
      <c r="O2" s="112"/>
      <c r="P2" s="112"/>
      <c r="Q2" s="112"/>
      <c r="R2" s="112"/>
      <c r="S2" s="112"/>
      <c r="T2" s="112"/>
      <c r="U2" s="112"/>
      <c r="V2" s="112"/>
      <c r="W2" s="112"/>
      <c r="X2" s="112"/>
      <c r="Y2" s="112"/>
      <c r="Z2" s="112"/>
      <c r="AA2" s="112"/>
      <c r="AB2" s="112"/>
      <c r="AC2" s="112"/>
      <c r="AD2" s="112"/>
      <c r="AE2" s="112"/>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4" sqref="R14"/>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5" t="s">
        <v>140</v>
      </c>
      <c r="D1" s="115"/>
      <c r="E1" s="115"/>
      <c r="F1" s="115"/>
      <c r="G1" s="115"/>
      <c r="H1" s="115"/>
      <c r="I1" s="115"/>
      <c r="J1" s="115"/>
      <c r="K1" s="115"/>
      <c r="L1" s="115"/>
      <c r="M1" s="115"/>
      <c r="N1" s="115"/>
      <c r="O1" s="115"/>
    </row>
    <row r="2" spans="1:20" ht="26.25">
      <c r="B2" s="18"/>
      <c r="C2" s="112"/>
      <c r="D2" s="112"/>
      <c r="E2" s="112"/>
      <c r="F2" s="112"/>
      <c r="G2" s="112"/>
      <c r="H2" s="112"/>
      <c r="I2" s="112"/>
      <c r="J2" s="112"/>
      <c r="K2" s="112"/>
      <c r="L2" s="112"/>
      <c r="M2" s="112"/>
      <c r="N2" s="112"/>
      <c r="O2" s="112"/>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200</v>
      </c>
      <c r="I6" s="28">
        <f>Apartment7!D6</f>
        <v>200</v>
      </c>
      <c r="J6" s="28">
        <f>Apartment8!D6</f>
        <v>200</v>
      </c>
      <c r="K6" s="28">
        <f>Apartment9!D6</f>
        <v>100</v>
      </c>
      <c r="L6" s="28">
        <f>Apartment10!D6</f>
        <v>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200</v>
      </c>
      <c r="I7" s="28">
        <f>Apartment7!D7</f>
        <v>200</v>
      </c>
      <c r="J7" s="28">
        <f>Apartment8!D7</f>
        <v>200</v>
      </c>
      <c r="K7" s="28">
        <f>Apartment9!D7</f>
        <v>100</v>
      </c>
      <c r="L7" s="28">
        <f>Apartment10!D7</f>
        <v>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200</v>
      </c>
      <c r="I8" s="28">
        <f>Apartment7!D8</f>
        <v>200</v>
      </c>
      <c r="J8" s="28">
        <f>Apartment8!D8</f>
        <v>200</v>
      </c>
      <c r="K8" s="28">
        <f>Apartment9!D8</f>
        <v>100</v>
      </c>
      <c r="L8" s="28">
        <f>Apartment10!D8</f>
        <v>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200</v>
      </c>
      <c r="I9" s="28">
        <f>Apartment7!D9</f>
        <v>200</v>
      </c>
      <c r="J9" s="28">
        <f>Apartment8!D9</f>
        <v>200</v>
      </c>
      <c r="K9" s="28">
        <f>Apartment9!D9</f>
        <v>100</v>
      </c>
      <c r="L9" s="28">
        <f>Apartment10!D9</f>
        <v>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200</v>
      </c>
      <c r="I10" s="28">
        <f>Apartment7!D10</f>
        <v>200</v>
      </c>
      <c r="J10" s="28">
        <f>Apartment8!D10</f>
        <v>200</v>
      </c>
      <c r="K10" s="28">
        <f>Apartment9!D10</f>
        <v>100</v>
      </c>
      <c r="L10" s="28">
        <f>Apartment10!D10</f>
        <v>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200</v>
      </c>
      <c r="I11" s="28">
        <f>Apartment7!D11</f>
        <v>200</v>
      </c>
      <c r="J11" s="28">
        <f>Apartment8!D11</f>
        <v>200</v>
      </c>
      <c r="K11" s="28">
        <f>Apartment9!D11</f>
        <v>100</v>
      </c>
      <c r="L11" s="28">
        <f>Apartment10!D11</f>
        <v>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200</v>
      </c>
      <c r="I12" s="28">
        <f>Apartment7!D12</f>
        <v>200</v>
      </c>
      <c r="J12" s="28">
        <f>Apartment8!D12</f>
        <v>200</v>
      </c>
      <c r="K12" s="28">
        <f>Apartment9!D12</f>
        <v>0</v>
      </c>
      <c r="L12" s="28">
        <f>Apartment10!D12</f>
        <v>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200</v>
      </c>
      <c r="I13" s="28">
        <f>Apartment7!D13</f>
        <v>200</v>
      </c>
      <c r="J13" s="28">
        <f>Apartment8!D13</f>
        <v>200</v>
      </c>
      <c r="K13" s="28">
        <f>Apartment9!D13</f>
        <v>0</v>
      </c>
      <c r="L13" s="28">
        <f>Apartment10!D13</f>
        <v>0</v>
      </c>
      <c r="M13" s="28">
        <f>Apartment11!D13</f>
        <v>0</v>
      </c>
      <c r="N13" s="28">
        <f>Apartment12!D13</f>
        <v>200</v>
      </c>
      <c r="O13" s="28">
        <f>Apartment13!D13</f>
        <v>0</v>
      </c>
      <c r="P13" s="28">
        <f>Apartment14!D13</f>
        <v>0</v>
      </c>
    </row>
    <row r="14" spans="1:20" ht="23.25">
      <c r="A14" s="8"/>
      <c r="B14" s="27">
        <v>9</v>
      </c>
      <c r="C14" s="28">
        <f>Apartment1!D14</f>
        <v>100</v>
      </c>
      <c r="D14" s="28">
        <f>Apartment2!D14</f>
        <v>50</v>
      </c>
      <c r="E14" s="28">
        <f>Apartment3!D14</f>
        <v>100</v>
      </c>
      <c r="F14" s="28">
        <f>Apartment4!D14</f>
        <v>100</v>
      </c>
      <c r="G14" s="28">
        <f>Apartment5!D14</f>
        <v>200</v>
      </c>
      <c r="H14" s="28">
        <f>Apartment6!D14</f>
        <v>200</v>
      </c>
      <c r="I14" s="28">
        <f>Apartment7!D14</f>
        <v>200</v>
      </c>
      <c r="J14" s="28">
        <f>Apartment8!D14</f>
        <v>200</v>
      </c>
      <c r="K14" s="28">
        <f>Apartment9!D14</f>
        <v>0</v>
      </c>
      <c r="L14" s="28">
        <f>Apartment10!D14</f>
        <v>0</v>
      </c>
      <c r="M14" s="28">
        <f>Apartment11!D14</f>
        <v>0</v>
      </c>
      <c r="N14" s="28">
        <f>Apartment12!D14</f>
        <v>200</v>
      </c>
      <c r="O14" s="28">
        <f>Apartment13!D14</f>
        <v>0</v>
      </c>
      <c r="P14" s="28">
        <f>Apartment14!D14</f>
        <v>0</v>
      </c>
    </row>
    <row r="15" spans="1:20" ht="23.25">
      <c r="A15" s="8"/>
      <c r="B15" s="27">
        <v>10</v>
      </c>
      <c r="C15" s="28">
        <f>Apartment1!D15</f>
        <v>0</v>
      </c>
      <c r="D15" s="28">
        <f>Apartment2!D15</f>
        <v>50</v>
      </c>
      <c r="E15" s="28">
        <f>Apartment3!D15</f>
        <v>100</v>
      </c>
      <c r="F15" s="28">
        <f>Apartment4!D15</f>
        <v>100</v>
      </c>
      <c r="G15" s="28">
        <f>Apartment5!D15</f>
        <v>200</v>
      </c>
      <c r="H15" s="28">
        <f>Apartment6!D15</f>
        <v>200</v>
      </c>
      <c r="I15" s="28">
        <f>Apartment7!D15</f>
        <v>200</v>
      </c>
      <c r="J15" s="28">
        <f>Apartment8!D15</f>
        <v>0</v>
      </c>
      <c r="K15" s="28">
        <f>Apartment9!D15</f>
        <v>0</v>
      </c>
      <c r="L15" s="28">
        <f>Apartment10!D15</f>
        <v>0</v>
      </c>
      <c r="M15" s="28">
        <f>Apartment11!D15</f>
        <v>0</v>
      </c>
      <c r="N15" s="28">
        <f>Apartment12!D15</f>
        <v>200</v>
      </c>
      <c r="O15" s="28">
        <f>Apartment13!D15</f>
        <v>0</v>
      </c>
      <c r="P15" s="28">
        <f>Apartment14!D15</f>
        <v>0</v>
      </c>
    </row>
    <row r="16" spans="1:20" ht="23.25">
      <c r="A16" s="8"/>
      <c r="B16" s="27">
        <v>11</v>
      </c>
      <c r="C16" s="28">
        <f>Apartment1!D16</f>
        <v>0</v>
      </c>
      <c r="D16" s="28">
        <f>Apartment2!D16</f>
        <v>50</v>
      </c>
      <c r="E16" s="28">
        <f>Apartment3!D16</f>
        <v>100</v>
      </c>
      <c r="F16" s="28">
        <f>Apartment4!D16</f>
        <v>100</v>
      </c>
      <c r="G16" s="28">
        <f>Apartment5!D16</f>
        <v>200</v>
      </c>
      <c r="H16" s="28">
        <f>Apartment6!D16</f>
        <v>200</v>
      </c>
      <c r="I16" s="28">
        <f>Apartment7!D16</f>
        <v>200</v>
      </c>
      <c r="J16" s="28">
        <f>Apartment8!D16</f>
        <v>0</v>
      </c>
      <c r="K16" s="28">
        <f>Apartment9!D16</f>
        <v>0</v>
      </c>
      <c r="L16" s="28">
        <f>Apartment10!D16</f>
        <v>0</v>
      </c>
      <c r="M16" s="28">
        <f>Apartment11!D16</f>
        <v>0</v>
      </c>
      <c r="N16" s="28">
        <f>Apartment12!D16</f>
        <v>200</v>
      </c>
      <c r="O16" s="28">
        <f>Apartment13!D16</f>
        <v>0</v>
      </c>
      <c r="P16" s="28">
        <f>Apartment14!D16</f>
        <v>0</v>
      </c>
    </row>
    <row r="17" spans="1:16" ht="23.25">
      <c r="A17" s="8"/>
      <c r="B17" s="27">
        <v>12</v>
      </c>
      <c r="C17" s="28">
        <f>Apartment1!D17</f>
        <v>0</v>
      </c>
      <c r="D17" s="28">
        <f>Apartment2!D17</f>
        <v>50</v>
      </c>
      <c r="E17" s="28">
        <f>Apartment3!D17</f>
        <v>0</v>
      </c>
      <c r="F17" s="28">
        <f>Apartment4!D17</f>
        <v>0</v>
      </c>
      <c r="G17" s="28">
        <f>Apartment5!D17</f>
        <v>200</v>
      </c>
      <c r="H17" s="28">
        <f>Apartment6!D17</f>
        <v>200</v>
      </c>
      <c r="I17" s="28">
        <f>Apartment7!D17</f>
        <v>0</v>
      </c>
      <c r="J17" s="28">
        <f>Apartment8!D17</f>
        <v>0</v>
      </c>
      <c r="K17" s="28">
        <f>Apartment9!D17</f>
        <v>0</v>
      </c>
      <c r="L17" s="28">
        <f>Apartment10!D17</f>
        <v>0</v>
      </c>
      <c r="M17" s="28">
        <f>Apartment11!D17</f>
        <v>0</v>
      </c>
      <c r="N17" s="28">
        <f>Apartment12!D17</f>
        <v>200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2" t="s">
        <v>47</v>
      </c>
      <c r="D2" s="112"/>
      <c r="E2" s="112"/>
      <c r="F2" s="112"/>
      <c r="G2" s="112"/>
      <c r="H2" s="112"/>
      <c r="I2" s="112"/>
      <c r="J2" s="112"/>
      <c r="K2" s="112"/>
      <c r="L2" s="112"/>
      <c r="M2" s="112"/>
      <c r="N2" s="112"/>
    </row>
    <row r="3" spans="1:14" ht="18.75">
      <c r="C3" s="90"/>
      <c r="G3" s="116" t="s">
        <v>94</v>
      </c>
      <c r="H3" s="116"/>
      <c r="I3" s="116"/>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900</v>
      </c>
      <c r="D5" s="102"/>
      <c r="E5" s="104">
        <f>D5-C5</f>
        <v>-900</v>
      </c>
      <c r="F5" s="2" t="s">
        <v>50</v>
      </c>
      <c r="G5" s="101"/>
      <c r="H5" s="102"/>
      <c r="I5" s="104">
        <f>H5-G5</f>
        <v>0</v>
      </c>
      <c r="J5" s="2"/>
    </row>
    <row r="6" spans="1:14" ht="18.75">
      <c r="A6" s="8">
        <v>2</v>
      </c>
      <c r="B6" s="20">
        <v>2</v>
      </c>
      <c r="C6" s="101">
        <f>Apartment2!D4</f>
        <v>600</v>
      </c>
      <c r="D6" s="102"/>
      <c r="E6" s="104">
        <f t="shared" ref="E6:E18" si="0">D6-C6</f>
        <v>-600</v>
      </c>
      <c r="F6" s="2" t="s">
        <v>51</v>
      </c>
      <c r="G6" s="101"/>
      <c r="H6" s="102"/>
      <c r="I6" s="104">
        <f t="shared" ref="I6:I18" si="1">H6-G6</f>
        <v>0</v>
      </c>
      <c r="J6" s="2"/>
    </row>
    <row r="7" spans="1:14" ht="18.75">
      <c r="A7" s="8">
        <v>3</v>
      </c>
      <c r="B7" s="20">
        <v>3</v>
      </c>
      <c r="C7" s="101">
        <f>Apartment3!D4</f>
        <v>1100</v>
      </c>
      <c r="D7" s="102"/>
      <c r="E7" s="104">
        <f t="shared" si="0"/>
        <v>-1100</v>
      </c>
      <c r="F7" s="2" t="s">
        <v>48</v>
      </c>
      <c r="G7" s="101"/>
      <c r="H7" s="102"/>
      <c r="I7" s="104">
        <f t="shared" si="1"/>
        <v>0</v>
      </c>
      <c r="J7" s="2"/>
    </row>
    <row r="8" spans="1:14" ht="18.75">
      <c r="A8" s="8">
        <v>4</v>
      </c>
      <c r="B8" s="20">
        <v>4</v>
      </c>
      <c r="C8" s="101">
        <f>Apartment4!D4</f>
        <v>1100</v>
      </c>
      <c r="D8" s="102"/>
      <c r="E8" s="104">
        <f t="shared" si="0"/>
        <v>-1100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2400</v>
      </c>
      <c r="D10" s="102"/>
      <c r="E10" s="104">
        <f t="shared" si="0"/>
        <v>-2400</v>
      </c>
      <c r="F10" s="2" t="s">
        <v>52</v>
      </c>
      <c r="G10" s="101"/>
      <c r="H10" s="102"/>
      <c r="I10" s="104">
        <f t="shared" si="1"/>
        <v>0</v>
      </c>
      <c r="J10" s="2"/>
    </row>
    <row r="11" spans="1:14" ht="18.75">
      <c r="A11" s="8">
        <v>7</v>
      </c>
      <c r="B11" s="20">
        <v>7</v>
      </c>
      <c r="C11" s="101">
        <f>Apartment7!D4</f>
        <v>2200</v>
      </c>
      <c r="D11" s="102"/>
      <c r="E11" s="104">
        <f t="shared" si="0"/>
        <v>-2200</v>
      </c>
      <c r="F11" s="2" t="s">
        <v>48</v>
      </c>
      <c r="G11" s="101"/>
      <c r="H11" s="102"/>
      <c r="I11" s="104">
        <f t="shared" si="1"/>
        <v>0</v>
      </c>
      <c r="J11" s="2"/>
    </row>
    <row r="12" spans="1:14" ht="18.75">
      <c r="A12" s="8">
        <v>8</v>
      </c>
      <c r="B12" s="20">
        <v>8</v>
      </c>
      <c r="C12" s="101">
        <f>Apartment8!D4</f>
        <v>1800</v>
      </c>
      <c r="D12" s="102"/>
      <c r="E12" s="104">
        <f t="shared" si="0"/>
        <v>-1800</v>
      </c>
      <c r="F12" s="2" t="s">
        <v>120</v>
      </c>
      <c r="G12" s="101"/>
      <c r="H12" s="102"/>
      <c r="I12" s="104">
        <f t="shared" si="1"/>
        <v>0</v>
      </c>
      <c r="J12" s="2"/>
    </row>
    <row r="13" spans="1:14" ht="18.75">
      <c r="A13" s="8">
        <v>9</v>
      </c>
      <c r="B13" s="20">
        <v>9</v>
      </c>
      <c r="C13" s="101">
        <f>Apartment9!D4</f>
        <v>600</v>
      </c>
      <c r="D13" s="102"/>
      <c r="E13" s="104">
        <f t="shared" si="0"/>
        <v>-600</v>
      </c>
      <c r="F13" s="2" t="s">
        <v>53</v>
      </c>
      <c r="G13" s="101"/>
      <c r="H13" s="102"/>
      <c r="I13" s="104">
        <f t="shared" si="1"/>
        <v>0</v>
      </c>
      <c r="J13" s="2"/>
    </row>
    <row r="14" spans="1:14" ht="18.75">
      <c r="A14" s="8">
        <v>10</v>
      </c>
      <c r="B14" s="20">
        <v>10</v>
      </c>
      <c r="C14" s="101">
        <f>Apartment10!D4</f>
        <v>0</v>
      </c>
      <c r="D14" s="102"/>
      <c r="E14" s="104">
        <f t="shared" si="0"/>
        <v>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640</v>
      </c>
      <c r="D17" s="102"/>
      <c r="E17" s="104">
        <f t="shared" si="0"/>
        <v>-640</v>
      </c>
      <c r="F17" s="2" t="s">
        <v>56</v>
      </c>
      <c r="G17" s="101"/>
      <c r="H17" s="102"/>
      <c r="I17" s="104">
        <f t="shared" si="1"/>
        <v>0</v>
      </c>
      <c r="J17" s="2"/>
    </row>
    <row r="18" spans="1:10" ht="18.75">
      <c r="A18" s="8">
        <v>14</v>
      </c>
      <c r="B18" s="20">
        <v>14</v>
      </c>
      <c r="C18" s="101">
        <f>Apartment14!D4</f>
        <v>640</v>
      </c>
      <c r="D18" s="102"/>
      <c r="E18" s="104">
        <f t="shared" si="0"/>
        <v>-640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J4" sqref="J4"/>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2" t="s">
        <v>21</v>
      </c>
      <c r="D2" s="112"/>
      <c r="E2" s="112"/>
      <c r="F2" s="112"/>
      <c r="G2" s="112"/>
      <c r="H2" s="112"/>
      <c r="I2" s="112"/>
      <c r="J2" s="112"/>
      <c r="K2" s="112"/>
      <c r="L2" s="112"/>
      <c r="M2" s="112"/>
      <c r="N2" s="112"/>
      <c r="O2" s="112"/>
      <c r="P2" s="112"/>
      <c r="Q2" s="112"/>
    </row>
    <row r="3" spans="1:17" ht="57.75">
      <c r="C3" s="97"/>
      <c r="D3" s="18" t="s">
        <v>8</v>
      </c>
      <c r="E3" s="18"/>
      <c r="F3" s="18" t="s">
        <v>18</v>
      </c>
      <c r="G3" s="1"/>
      <c r="H3" s="1"/>
      <c r="I3" s="1"/>
      <c r="J3" s="1"/>
      <c r="K3" s="1"/>
      <c r="L3" s="1"/>
      <c r="M3" s="1"/>
      <c r="N3" s="1"/>
      <c r="O3" s="1"/>
      <c r="P3" s="1"/>
      <c r="Q3" s="1"/>
    </row>
    <row r="4" spans="1:17" ht="18.75">
      <c r="C4" s="69"/>
      <c r="D4" s="11">
        <f>SUM(D6:D2001)</f>
        <v>640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294</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108">
        <v>45981</v>
      </c>
      <c r="D13" s="35"/>
      <c r="E13" s="8"/>
      <c r="F13" s="52">
        <v>100</v>
      </c>
      <c r="G13" s="8" t="s">
        <v>105</v>
      </c>
      <c r="H13" s="2"/>
      <c r="I13" s="2"/>
      <c r="J13" s="2"/>
      <c r="K13" s="2"/>
      <c r="L13" s="2"/>
      <c r="M13" s="2"/>
    </row>
    <row r="14" spans="1:17" ht="18.75">
      <c r="A14" s="8">
        <v>9</v>
      </c>
      <c r="B14" s="8">
        <v>9</v>
      </c>
      <c r="C14" s="108">
        <v>45981</v>
      </c>
      <c r="D14" s="35"/>
      <c r="E14" s="8"/>
      <c r="F14" s="52">
        <v>100</v>
      </c>
      <c r="G14" s="8" t="s">
        <v>106</v>
      </c>
      <c r="H14" s="2"/>
      <c r="I14" s="2"/>
      <c r="J14" s="2"/>
      <c r="K14" s="2"/>
      <c r="L14" s="2"/>
      <c r="M14" s="2"/>
    </row>
    <row r="15" spans="1:17" ht="18.75">
      <c r="A15" s="8">
        <v>10</v>
      </c>
      <c r="B15" s="8">
        <v>10</v>
      </c>
      <c r="C15" s="70">
        <v>45990</v>
      </c>
      <c r="D15" s="35"/>
      <c r="E15" s="8"/>
      <c r="F15" s="52">
        <v>100</v>
      </c>
      <c r="G15" s="8" t="s">
        <v>107</v>
      </c>
      <c r="H15" s="2"/>
      <c r="I15" s="2"/>
      <c r="J15" s="2"/>
      <c r="K15" s="2"/>
      <c r="L15" s="2"/>
      <c r="M15" s="2"/>
    </row>
    <row r="16" spans="1:17" ht="18.75">
      <c r="A16" s="8">
        <v>11</v>
      </c>
      <c r="B16" s="8">
        <v>11</v>
      </c>
      <c r="C16" s="70">
        <v>45990</v>
      </c>
      <c r="D16" s="35"/>
      <c r="E16" s="8"/>
      <c r="F16" s="52">
        <v>100</v>
      </c>
      <c r="G16" s="52" t="s">
        <v>108</v>
      </c>
      <c r="H16" s="2"/>
      <c r="I16" s="2"/>
      <c r="J16" s="2"/>
      <c r="K16" s="2"/>
      <c r="L16" s="2"/>
      <c r="M16" s="2"/>
    </row>
    <row r="17" spans="1:13" ht="18.75">
      <c r="A17" s="8">
        <v>12</v>
      </c>
      <c r="B17" s="8">
        <v>12</v>
      </c>
      <c r="C17" s="70">
        <v>46022</v>
      </c>
      <c r="D17" s="8"/>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20</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M6" sqref="M6"/>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2" t="s">
        <v>114</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640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45981</v>
      </c>
      <c r="D13" s="35"/>
      <c r="E13" s="8"/>
      <c r="F13" s="52">
        <v>100</v>
      </c>
      <c r="G13" s="8" t="s">
        <v>105</v>
      </c>
      <c r="H13" s="2"/>
      <c r="I13" s="2"/>
      <c r="J13" s="2"/>
      <c r="K13" s="2"/>
      <c r="L13" s="2"/>
      <c r="M13" s="2"/>
    </row>
    <row r="14" spans="1:17" ht="18.75">
      <c r="A14" s="8">
        <v>9</v>
      </c>
      <c r="B14" s="8">
        <v>9</v>
      </c>
      <c r="C14" s="58">
        <v>45981</v>
      </c>
      <c r="D14" s="35"/>
      <c r="E14" s="8"/>
      <c r="F14" s="52">
        <v>100</v>
      </c>
      <c r="G14" s="8" t="s">
        <v>106</v>
      </c>
      <c r="H14" s="2"/>
      <c r="I14" s="2"/>
      <c r="J14" s="2"/>
      <c r="K14" s="2"/>
      <c r="L14" s="2"/>
      <c r="M14" s="2"/>
    </row>
    <row r="15" spans="1:17" ht="18.75">
      <c r="A15" s="8">
        <v>10</v>
      </c>
      <c r="B15" s="8">
        <v>10</v>
      </c>
      <c r="C15" s="58">
        <v>45990</v>
      </c>
      <c r="D15" s="35"/>
      <c r="E15" s="8"/>
      <c r="F15" s="52">
        <v>100</v>
      </c>
      <c r="G15" s="8" t="s">
        <v>107</v>
      </c>
      <c r="H15" s="2"/>
      <c r="I15" s="2"/>
      <c r="J15" s="2"/>
      <c r="K15" s="2"/>
      <c r="L15" s="2"/>
      <c r="M15" s="2"/>
    </row>
    <row r="16" spans="1:17" ht="18.75">
      <c r="A16" s="8">
        <v>11</v>
      </c>
      <c r="B16" s="8">
        <v>11</v>
      </c>
      <c r="C16" s="58">
        <v>45990</v>
      </c>
      <c r="D16" s="35"/>
      <c r="E16" s="8"/>
      <c r="F16" s="52">
        <v>100</v>
      </c>
      <c r="G16" s="8" t="s">
        <v>108</v>
      </c>
      <c r="H16" s="2"/>
      <c r="I16" s="2"/>
      <c r="J16" s="2"/>
      <c r="K16" s="2"/>
      <c r="L16" s="2"/>
      <c r="M16" s="2"/>
    </row>
    <row r="17" spans="1:17" ht="18.75">
      <c r="A17" s="8">
        <v>12</v>
      </c>
      <c r="B17" s="8">
        <v>12</v>
      </c>
      <c r="C17" s="58">
        <v>46022</v>
      </c>
      <c r="D17" s="35"/>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7" t="s">
        <v>118</v>
      </c>
      <c r="J20" s="117"/>
      <c r="K20" s="117"/>
      <c r="L20" s="117"/>
      <c r="M20" s="117"/>
      <c r="N20" s="117"/>
    </row>
    <row r="21" spans="1:17" ht="23.25">
      <c r="A21" s="8"/>
      <c r="B21" s="8"/>
      <c r="C21" s="58"/>
      <c r="D21" s="35"/>
      <c r="E21" s="8"/>
      <c r="F21" s="8"/>
      <c r="G21" s="8"/>
      <c r="H21" s="2"/>
      <c r="I21" s="117" t="s">
        <v>295</v>
      </c>
      <c r="J21" s="117"/>
      <c r="K21" s="117"/>
      <c r="L21" s="117"/>
      <c r="M21" s="117"/>
      <c r="N21" s="117"/>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8"/>
      <c r="K23" s="118"/>
      <c r="L23" s="118"/>
      <c r="M23" s="118"/>
      <c r="N23" s="118"/>
      <c r="O23" s="118"/>
      <c r="P23" s="118"/>
      <c r="Q23" s="51"/>
    </row>
    <row r="24" spans="1:17" ht="18.75">
      <c r="A24" s="8"/>
      <c r="B24" s="8"/>
      <c r="C24" s="58"/>
      <c r="D24" s="35"/>
      <c r="E24" s="8"/>
      <c r="F24" s="8"/>
      <c r="G24" s="8">
        <v>1</v>
      </c>
      <c r="H24" s="8"/>
      <c r="I24" s="8"/>
      <c r="J24" s="118"/>
      <c r="K24" s="118"/>
      <c r="L24" s="118"/>
      <c r="M24" s="118"/>
      <c r="N24" s="118"/>
      <c r="O24" s="118"/>
      <c r="P24" s="118"/>
      <c r="Q24" s="51"/>
    </row>
    <row r="25" spans="1:17" ht="36" customHeight="1">
      <c r="A25" s="8"/>
      <c r="B25" s="8"/>
      <c r="C25" s="58"/>
      <c r="D25" s="35"/>
      <c r="E25" s="8"/>
      <c r="F25" s="8"/>
      <c r="G25" s="54">
        <v>2</v>
      </c>
      <c r="H25" s="54"/>
      <c r="I25" s="54"/>
      <c r="J25" s="118"/>
      <c r="K25" s="118"/>
      <c r="L25" s="118"/>
      <c r="M25" s="118"/>
      <c r="N25" s="118"/>
      <c r="O25" s="118"/>
      <c r="P25" s="118"/>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2" t="s">
        <v>22</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4" workbookViewId="0">
      <selection activeCell="K17" sqref="K17"/>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2" t="s">
        <v>23</v>
      </c>
      <c r="D2" s="112"/>
      <c r="E2" s="112"/>
      <c r="F2" s="112"/>
      <c r="G2" s="112"/>
      <c r="H2" s="112"/>
      <c r="I2" s="112"/>
      <c r="J2" s="112"/>
      <c r="K2" s="112"/>
      <c r="L2" s="112"/>
      <c r="M2" s="112"/>
      <c r="N2" s="112"/>
      <c r="O2" s="112"/>
      <c r="P2" s="112"/>
      <c r="Q2" s="112"/>
    </row>
    <row r="3" spans="1:17" ht="57.75">
      <c r="C3" s="55"/>
      <c r="D3" s="18" t="s">
        <v>8</v>
      </c>
      <c r="E3" s="18"/>
      <c r="F3" s="18" t="s">
        <v>18</v>
      </c>
      <c r="G3" s="1"/>
      <c r="H3" s="1"/>
      <c r="I3" s="1"/>
      <c r="J3" s="1"/>
      <c r="K3" s="1"/>
      <c r="L3" s="1"/>
      <c r="M3" s="1"/>
      <c r="N3" s="1"/>
      <c r="O3" s="1"/>
      <c r="P3" s="1"/>
      <c r="Q3" s="1"/>
    </row>
    <row r="4" spans="1:17" ht="18.75">
      <c r="C4" s="69"/>
      <c r="D4" s="90">
        <f>SUM(D6:D2001)</f>
        <v>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0</v>
      </c>
      <c r="E6" s="8"/>
      <c r="F6" s="8">
        <v>200</v>
      </c>
      <c r="G6" s="52" t="s">
        <v>213</v>
      </c>
      <c r="H6" s="2"/>
      <c r="I6" s="2"/>
      <c r="J6" s="2"/>
      <c r="K6" s="2"/>
      <c r="L6" s="2"/>
      <c r="M6" s="2"/>
    </row>
    <row r="7" spans="1:17" ht="18.75">
      <c r="A7" s="8">
        <v>2</v>
      </c>
      <c r="B7" s="8">
        <v>2</v>
      </c>
      <c r="C7" s="70">
        <v>45318</v>
      </c>
      <c r="D7" s="35">
        <v>0</v>
      </c>
      <c r="E7" s="8"/>
      <c r="F7" s="8">
        <v>200</v>
      </c>
      <c r="G7" s="8" t="s">
        <v>99</v>
      </c>
      <c r="H7" s="2"/>
      <c r="I7" s="2"/>
      <c r="J7" s="2"/>
      <c r="K7" s="2"/>
      <c r="L7" s="2"/>
      <c r="M7" s="2"/>
    </row>
    <row r="8" spans="1:17" ht="18.75">
      <c r="A8" s="8">
        <v>3</v>
      </c>
      <c r="B8" s="8">
        <v>3</v>
      </c>
      <c r="C8" s="70">
        <v>45318</v>
      </c>
      <c r="D8" s="35">
        <v>0</v>
      </c>
      <c r="E8" s="8"/>
      <c r="F8" s="8">
        <v>200</v>
      </c>
      <c r="G8" s="8" t="s">
        <v>100</v>
      </c>
      <c r="H8" s="2"/>
      <c r="I8" s="2"/>
      <c r="J8" s="2"/>
      <c r="K8" s="2"/>
      <c r="L8" s="2"/>
      <c r="M8" s="2"/>
    </row>
    <row r="9" spans="1:17" ht="18.75">
      <c r="A9" s="8">
        <v>4</v>
      </c>
      <c r="B9" s="8">
        <v>4</v>
      </c>
      <c r="C9" s="70">
        <v>45318</v>
      </c>
      <c r="D9" s="35">
        <v>0</v>
      </c>
      <c r="E9" s="8"/>
      <c r="F9" s="8">
        <v>200</v>
      </c>
      <c r="G9" s="8" t="s">
        <v>101</v>
      </c>
      <c r="H9" s="2"/>
      <c r="I9" s="2"/>
      <c r="J9" s="2"/>
      <c r="K9" s="2"/>
      <c r="L9" s="2"/>
      <c r="M9" s="2"/>
    </row>
    <row r="10" spans="1:17" ht="18.75">
      <c r="A10" s="8">
        <v>5</v>
      </c>
      <c r="B10" s="8">
        <v>5</v>
      </c>
      <c r="C10" s="70">
        <v>45318</v>
      </c>
      <c r="D10" s="35">
        <v>0</v>
      </c>
      <c r="E10" s="8"/>
      <c r="F10" s="8">
        <v>200</v>
      </c>
      <c r="G10" s="8" t="s">
        <v>102</v>
      </c>
      <c r="H10" s="2"/>
      <c r="I10" s="2"/>
      <c r="J10" s="2"/>
      <c r="K10" s="2"/>
      <c r="L10" s="2"/>
      <c r="M10" s="2"/>
    </row>
    <row r="11" spans="1:17" ht="18.75">
      <c r="A11" s="8">
        <v>6</v>
      </c>
      <c r="B11" s="8">
        <v>6</v>
      </c>
      <c r="C11" s="70">
        <v>45318</v>
      </c>
      <c r="D11" s="35">
        <v>0</v>
      </c>
      <c r="E11" s="8"/>
      <c r="F11" s="8">
        <v>200</v>
      </c>
      <c r="G11" s="8" t="s">
        <v>103</v>
      </c>
      <c r="H11" s="2"/>
      <c r="I11" s="2"/>
      <c r="J11" s="2"/>
      <c r="K11" s="2"/>
      <c r="L11" s="2"/>
      <c r="M11" s="2"/>
    </row>
    <row r="12" spans="1:17" ht="18.75">
      <c r="A12" s="8">
        <v>7</v>
      </c>
      <c r="B12" s="8">
        <v>7</v>
      </c>
      <c r="C12" s="58">
        <v>45569</v>
      </c>
      <c r="D12" s="35">
        <v>0</v>
      </c>
      <c r="E12" s="8"/>
      <c r="F12" s="8">
        <v>200</v>
      </c>
      <c r="G12" s="8" t="s">
        <v>104</v>
      </c>
      <c r="H12" s="2"/>
      <c r="I12" s="2"/>
      <c r="J12" s="2"/>
      <c r="K12" s="2"/>
      <c r="L12" s="2"/>
      <c r="M12" s="2"/>
    </row>
    <row r="13" spans="1:17" ht="18.75">
      <c r="A13" s="8">
        <v>8</v>
      </c>
      <c r="B13" s="8">
        <v>8</v>
      </c>
      <c r="C13" s="58">
        <v>45569</v>
      </c>
      <c r="D13" s="35">
        <v>0</v>
      </c>
      <c r="E13" s="8"/>
      <c r="F13" s="8">
        <v>200</v>
      </c>
      <c r="G13" s="8" t="s">
        <v>105</v>
      </c>
      <c r="H13" s="2"/>
      <c r="I13" s="2"/>
      <c r="J13" s="2"/>
      <c r="K13" s="2"/>
      <c r="L13" s="2"/>
      <c r="M13" s="2"/>
    </row>
    <row r="14" spans="1:17" ht="18.75">
      <c r="A14" s="8">
        <v>9</v>
      </c>
      <c r="B14" s="8">
        <v>9</v>
      </c>
      <c r="C14" s="58">
        <v>45569</v>
      </c>
      <c r="D14" s="35">
        <v>0</v>
      </c>
      <c r="E14" s="8"/>
      <c r="F14" s="8">
        <v>200</v>
      </c>
      <c r="G14" s="8" t="s">
        <v>106</v>
      </c>
      <c r="H14" s="2"/>
      <c r="I14" s="2"/>
      <c r="J14" s="2"/>
      <c r="K14" s="2"/>
      <c r="L14" s="2"/>
      <c r="M14" s="2"/>
    </row>
    <row r="15" spans="1:17" ht="18.75">
      <c r="A15" s="8">
        <v>10</v>
      </c>
      <c r="B15" s="8">
        <v>10</v>
      </c>
      <c r="C15" s="58">
        <v>45569</v>
      </c>
      <c r="D15" s="35">
        <v>0</v>
      </c>
      <c r="E15" s="8"/>
      <c r="F15" s="8">
        <v>200</v>
      </c>
      <c r="G15" s="8" t="s">
        <v>107</v>
      </c>
      <c r="H15" s="2"/>
      <c r="I15" s="2"/>
      <c r="J15" s="2"/>
      <c r="K15" s="2"/>
      <c r="L15" s="2"/>
      <c r="M15" s="2"/>
    </row>
    <row r="16" spans="1:17" ht="18.75">
      <c r="A16" s="8">
        <v>11</v>
      </c>
      <c r="B16" s="8">
        <v>11</v>
      </c>
      <c r="C16" s="58">
        <v>45569</v>
      </c>
      <c r="D16" s="35">
        <v>0</v>
      </c>
      <c r="E16" s="8"/>
      <c r="F16" s="8">
        <v>200</v>
      </c>
      <c r="G16" s="8" t="s">
        <v>108</v>
      </c>
      <c r="H16" s="2"/>
      <c r="I16" s="2"/>
      <c r="J16" s="2"/>
      <c r="K16" s="2"/>
      <c r="L16" s="2"/>
      <c r="M16" s="2"/>
    </row>
    <row r="17" spans="1:13" ht="18.75">
      <c r="A17" s="8">
        <v>12</v>
      </c>
      <c r="B17" s="8">
        <v>12</v>
      </c>
      <c r="C17" s="58">
        <v>45569</v>
      </c>
      <c r="D17" s="35">
        <v>0</v>
      </c>
      <c r="E17" s="8"/>
      <c r="F17" s="8">
        <v>200</v>
      </c>
      <c r="G17" s="8" t="s">
        <v>109</v>
      </c>
      <c r="H17" s="2"/>
      <c r="I17" s="2"/>
      <c r="J17" s="2"/>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C2" sqref="C2:Q2"/>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2" t="s">
        <v>24</v>
      </c>
      <c r="D2" s="112"/>
      <c r="E2" s="112"/>
      <c r="F2" s="112"/>
      <c r="G2" s="112"/>
      <c r="H2" s="112"/>
      <c r="I2" s="112"/>
      <c r="J2" s="112"/>
      <c r="K2" s="112"/>
      <c r="L2" s="112"/>
      <c r="M2" s="112"/>
      <c r="N2" s="112"/>
      <c r="O2" s="112"/>
      <c r="P2" s="112"/>
      <c r="Q2" s="112"/>
    </row>
    <row r="3" spans="1:22" ht="57.75">
      <c r="C3" s="64"/>
      <c r="D3" s="18" t="s">
        <v>8</v>
      </c>
      <c r="E3" s="18"/>
      <c r="F3" s="18" t="s">
        <v>18</v>
      </c>
      <c r="G3" s="1"/>
      <c r="H3" s="1"/>
      <c r="I3" s="1"/>
      <c r="J3" s="1"/>
      <c r="K3" s="1"/>
      <c r="L3" s="1"/>
      <c r="M3" s="1"/>
      <c r="N3" s="1"/>
      <c r="O3" s="113" t="s">
        <v>97</v>
      </c>
      <c r="P3" s="113"/>
      <c r="Q3" s="113"/>
      <c r="R3" s="113"/>
      <c r="S3" s="113"/>
      <c r="T3" s="113"/>
      <c r="U3" s="113"/>
      <c r="V3" s="113"/>
    </row>
    <row r="4" spans="1:22" ht="18.75">
      <c r="C4" s="56"/>
      <c r="D4" s="11">
        <f>SUM(D6:D2004)</f>
        <v>600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9" t="s">
        <v>77</v>
      </c>
      <c r="S5" s="120"/>
      <c r="T5" s="120"/>
      <c r="U5" s="121"/>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45830</v>
      </c>
      <c r="D12" s="62"/>
      <c r="E12" s="8"/>
      <c r="F12" s="52">
        <v>100</v>
      </c>
      <c r="G12" s="8" t="s">
        <v>104</v>
      </c>
      <c r="H12" s="2"/>
      <c r="I12" s="2"/>
      <c r="J12" s="2"/>
      <c r="K12" s="2"/>
      <c r="L12" s="2"/>
      <c r="M12" s="2"/>
      <c r="P12" s="33" t="s">
        <v>78</v>
      </c>
      <c r="Q12" s="38">
        <f>SUM(Q6:Q11)</f>
        <v>0</v>
      </c>
      <c r="R12" s="122"/>
      <c r="S12" s="123"/>
      <c r="T12" s="123"/>
      <c r="U12" s="124"/>
    </row>
    <row r="13" spans="1:22" ht="18.75">
      <c r="A13" s="8">
        <v>8</v>
      </c>
      <c r="B13" s="8">
        <v>8</v>
      </c>
      <c r="C13" s="58">
        <v>45830</v>
      </c>
      <c r="D13" s="62"/>
      <c r="E13" s="8"/>
      <c r="F13" s="52">
        <v>100</v>
      </c>
      <c r="G13" s="8" t="s">
        <v>105</v>
      </c>
      <c r="H13" s="2"/>
      <c r="I13" s="2"/>
      <c r="J13" s="2"/>
      <c r="K13" s="2"/>
      <c r="L13" s="2"/>
      <c r="M13" s="2"/>
      <c r="O13" s="2"/>
      <c r="P13" s="41"/>
      <c r="Q13" s="41"/>
      <c r="R13" s="2"/>
      <c r="S13" s="42"/>
    </row>
    <row r="14" spans="1:22" ht="18.75">
      <c r="A14" s="8">
        <v>9</v>
      </c>
      <c r="B14" s="8">
        <v>9</v>
      </c>
      <c r="C14" s="58">
        <v>45830</v>
      </c>
      <c r="D14" s="62"/>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45999</v>
      </c>
      <c r="D15" s="62"/>
      <c r="E15" s="8"/>
      <c r="F15" s="52">
        <v>100</v>
      </c>
      <c r="G15" s="8" t="s">
        <v>107</v>
      </c>
      <c r="H15" s="2"/>
      <c r="I15" s="2"/>
      <c r="J15" s="2"/>
      <c r="K15" s="2"/>
      <c r="L15" s="2"/>
      <c r="M15" s="2"/>
      <c r="O15" s="34"/>
      <c r="P15" s="36"/>
      <c r="Q15" s="35"/>
      <c r="R15" s="2"/>
      <c r="S15" s="2"/>
    </row>
    <row r="16" spans="1:22" ht="18.75">
      <c r="A16" s="8">
        <v>11</v>
      </c>
      <c r="B16" s="8">
        <v>11</v>
      </c>
      <c r="C16" s="58">
        <v>45999</v>
      </c>
      <c r="D16" s="62"/>
      <c r="E16" s="8"/>
      <c r="F16" s="52">
        <v>100</v>
      </c>
      <c r="G16" s="8" t="s">
        <v>108</v>
      </c>
      <c r="H16" s="2"/>
      <c r="I16" s="2"/>
      <c r="J16" s="2"/>
      <c r="K16" s="2"/>
      <c r="L16" s="2"/>
      <c r="M16" s="2"/>
    </row>
    <row r="17" spans="1:13" ht="18.75">
      <c r="A17" s="8">
        <v>12</v>
      </c>
      <c r="B17" s="8">
        <v>12</v>
      </c>
      <c r="C17" s="58">
        <v>45999</v>
      </c>
      <c r="D17" s="62"/>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E18" sqref="E18"/>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2" t="s">
        <v>115</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90">
        <f>SUM(D6:D2001)</f>
        <v>1800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45989</v>
      </c>
      <c r="D13" s="35">
        <v>200</v>
      </c>
      <c r="E13" s="8"/>
      <c r="F13" s="35">
        <v>200</v>
      </c>
      <c r="G13" s="8" t="s">
        <v>105</v>
      </c>
      <c r="H13" s="2"/>
      <c r="I13" s="2"/>
      <c r="J13" s="2"/>
      <c r="K13" s="2"/>
      <c r="L13" s="2"/>
      <c r="M13" s="2"/>
    </row>
    <row r="14" spans="1:17" ht="18.75">
      <c r="A14" s="8">
        <v>9</v>
      </c>
      <c r="B14" s="8">
        <v>9</v>
      </c>
      <c r="C14" s="84">
        <v>45989</v>
      </c>
      <c r="D14" s="35">
        <v>200</v>
      </c>
      <c r="E14" s="8"/>
      <c r="F14" s="35">
        <v>200</v>
      </c>
      <c r="G14" s="8" t="s">
        <v>106</v>
      </c>
      <c r="H14" s="2"/>
      <c r="I14" s="2"/>
      <c r="J14" s="2"/>
      <c r="K14" s="2"/>
      <c r="L14" s="2"/>
      <c r="M14" s="2"/>
    </row>
    <row r="15" spans="1:17" ht="18.75">
      <c r="A15" s="8">
        <v>10</v>
      </c>
      <c r="B15" s="8">
        <v>10</v>
      </c>
      <c r="C15" s="84">
        <v>45971</v>
      </c>
      <c r="D15" s="35"/>
      <c r="E15" s="8"/>
      <c r="F15" s="35">
        <v>200</v>
      </c>
      <c r="G15" s="8" t="s">
        <v>107</v>
      </c>
      <c r="H15" s="2"/>
      <c r="I15" s="2"/>
      <c r="J15" s="2"/>
      <c r="K15" s="2"/>
      <c r="L15" s="2"/>
      <c r="M15" s="2"/>
    </row>
    <row r="16" spans="1:17" ht="18.75">
      <c r="A16" s="8">
        <v>11</v>
      </c>
      <c r="B16" s="8">
        <v>11</v>
      </c>
      <c r="C16" s="84">
        <v>45971</v>
      </c>
      <c r="D16" s="35"/>
      <c r="E16" s="8"/>
      <c r="F16" s="35">
        <v>200</v>
      </c>
      <c r="G16" s="52" t="s">
        <v>229</v>
      </c>
      <c r="H16" s="2"/>
      <c r="I16" s="2"/>
      <c r="J16" s="2"/>
      <c r="K16" s="2"/>
      <c r="L16" s="2"/>
      <c r="M16" s="2"/>
    </row>
    <row r="17" spans="1:13" ht="18.75">
      <c r="A17" s="8">
        <v>12</v>
      </c>
      <c r="B17" s="8">
        <v>12</v>
      </c>
      <c r="C17" s="84"/>
      <c r="D17" s="35"/>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E18" sqref="E18"/>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2" t="s">
        <v>25</v>
      </c>
      <c r="D2" s="112"/>
      <c r="E2" s="112"/>
      <c r="F2" s="112"/>
      <c r="G2" s="112"/>
      <c r="H2" s="112"/>
      <c r="I2" s="112"/>
      <c r="J2" s="112"/>
      <c r="K2" s="112"/>
      <c r="L2" s="112"/>
      <c r="M2" s="112"/>
      <c r="N2" s="112"/>
      <c r="O2" s="112"/>
      <c r="P2" s="112"/>
      <c r="Q2" s="112"/>
    </row>
    <row r="3" spans="1:17" ht="57.75">
      <c r="C3" s="64"/>
      <c r="D3" s="18" t="s">
        <v>8</v>
      </c>
      <c r="E3" s="18"/>
      <c r="F3" s="18" t="s">
        <v>18</v>
      </c>
      <c r="G3" s="1"/>
      <c r="H3" s="1"/>
      <c r="I3" s="1"/>
      <c r="J3" s="1"/>
      <c r="K3" s="1"/>
      <c r="L3" s="1"/>
      <c r="M3" s="1"/>
      <c r="N3" s="1"/>
      <c r="O3" s="1"/>
      <c r="P3" s="1"/>
      <c r="Q3" s="1"/>
    </row>
    <row r="4" spans="1:17" ht="18.75">
      <c r="C4" s="56"/>
      <c r="D4" s="90">
        <f>SUM(D6:D2001)</f>
        <v>2200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45633</v>
      </c>
      <c r="D17" s="35"/>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topLeftCell="A4" workbookViewId="0">
      <selection activeCell="K17" sqref="K17"/>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2400</v>
      </c>
      <c r="E4" s="11"/>
      <c r="F4" s="11">
        <f>SUM(F6:F2001)</f>
        <v>2400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45777</v>
      </c>
      <c r="D6" s="8">
        <v>200</v>
      </c>
      <c r="E6" s="8"/>
      <c r="F6" s="8">
        <v>200</v>
      </c>
      <c r="G6" s="52" t="s">
        <v>238</v>
      </c>
      <c r="H6" s="2"/>
      <c r="I6" s="2"/>
      <c r="J6" s="2"/>
      <c r="K6" s="2"/>
      <c r="L6" s="2"/>
      <c r="M6" s="2"/>
    </row>
    <row r="7" spans="1:17" ht="18.75">
      <c r="A7" s="8">
        <v>2</v>
      </c>
      <c r="B7" s="8">
        <v>2</v>
      </c>
      <c r="C7" s="53">
        <v>45777</v>
      </c>
      <c r="D7" s="52">
        <v>200</v>
      </c>
      <c r="E7" s="8"/>
      <c r="F7" s="52">
        <v>200</v>
      </c>
      <c r="G7" s="52" t="s">
        <v>239</v>
      </c>
      <c r="H7" s="2"/>
      <c r="I7" s="2"/>
      <c r="J7" s="2"/>
      <c r="K7" s="2"/>
      <c r="L7" s="2"/>
      <c r="M7" s="2"/>
    </row>
    <row r="8" spans="1:17" ht="18.75">
      <c r="A8" s="8">
        <v>3</v>
      </c>
      <c r="B8" s="8">
        <v>3</v>
      </c>
      <c r="C8" s="53">
        <v>45777</v>
      </c>
      <c r="D8" s="52">
        <v>200</v>
      </c>
      <c r="E8" s="8"/>
      <c r="F8" s="52">
        <v>200</v>
      </c>
      <c r="G8" s="52" t="s">
        <v>100</v>
      </c>
      <c r="H8" s="2"/>
      <c r="I8" s="2"/>
      <c r="J8" s="2"/>
      <c r="K8" s="2"/>
      <c r="L8" s="2"/>
      <c r="M8" s="2"/>
    </row>
    <row r="9" spans="1:17" ht="18.75">
      <c r="A9" s="8">
        <v>4</v>
      </c>
      <c r="B9" s="8">
        <v>4</v>
      </c>
      <c r="C9" s="53">
        <v>45777</v>
      </c>
      <c r="D9" s="52">
        <v>200</v>
      </c>
      <c r="E9" s="8"/>
      <c r="F9" s="52">
        <v>200</v>
      </c>
      <c r="G9" s="52" t="s">
        <v>101</v>
      </c>
      <c r="H9" s="2"/>
      <c r="I9" s="2"/>
      <c r="J9" s="2"/>
      <c r="K9" s="2"/>
      <c r="L9" s="2"/>
      <c r="M9" s="2"/>
    </row>
    <row r="10" spans="1:17" ht="18.75">
      <c r="A10" s="8">
        <v>5</v>
      </c>
      <c r="B10" s="8">
        <v>5</v>
      </c>
      <c r="C10" s="53">
        <v>45777</v>
      </c>
      <c r="D10" s="52">
        <v>200</v>
      </c>
      <c r="E10" s="8"/>
      <c r="F10" s="52">
        <v>200</v>
      </c>
      <c r="G10" s="52" t="s">
        <v>102</v>
      </c>
      <c r="H10" s="2"/>
      <c r="I10" s="2"/>
      <c r="J10" s="2"/>
      <c r="K10" s="2"/>
      <c r="L10" s="2"/>
      <c r="M10" s="2"/>
    </row>
    <row r="11" spans="1:17" ht="18.75">
      <c r="A11" s="8">
        <v>6</v>
      </c>
      <c r="B11" s="8">
        <v>6</v>
      </c>
      <c r="C11" s="53">
        <v>45777</v>
      </c>
      <c r="D11" s="52">
        <v>200</v>
      </c>
      <c r="E11" s="8"/>
      <c r="F11" s="52">
        <v>200</v>
      </c>
      <c r="G11" s="52" t="s">
        <v>103</v>
      </c>
      <c r="H11" s="2"/>
      <c r="I11" s="2"/>
      <c r="J11" s="2"/>
      <c r="K11" s="2"/>
      <c r="L11" s="2"/>
      <c r="M11" s="2"/>
    </row>
    <row r="12" spans="1:17" ht="18.75">
      <c r="A12" s="8">
        <v>7</v>
      </c>
      <c r="B12" s="8">
        <v>7</v>
      </c>
      <c r="C12" s="53">
        <v>45777</v>
      </c>
      <c r="D12" s="52">
        <v>200</v>
      </c>
      <c r="E12" s="8"/>
      <c r="F12" s="52">
        <v>200</v>
      </c>
      <c r="G12" s="52" t="s">
        <v>104</v>
      </c>
      <c r="H12" s="2"/>
      <c r="I12" s="2"/>
      <c r="J12" s="2"/>
      <c r="K12" s="2"/>
      <c r="L12" s="2"/>
      <c r="M12" s="2"/>
    </row>
    <row r="13" spans="1:17" ht="18.75">
      <c r="A13" s="8">
        <v>8</v>
      </c>
      <c r="B13" s="8">
        <v>8</v>
      </c>
      <c r="C13" s="53">
        <v>45777</v>
      </c>
      <c r="D13" s="52">
        <v>200</v>
      </c>
      <c r="E13" s="8"/>
      <c r="F13" s="52">
        <v>200</v>
      </c>
      <c r="G13" s="52" t="s">
        <v>105</v>
      </c>
      <c r="H13" s="2"/>
      <c r="I13" s="2"/>
      <c r="J13" s="2"/>
      <c r="K13" s="2"/>
      <c r="L13" s="2"/>
      <c r="M13" s="2"/>
    </row>
    <row r="14" spans="1:17" ht="18.75">
      <c r="A14" s="8">
        <v>9</v>
      </c>
      <c r="B14" s="8">
        <v>9</v>
      </c>
      <c r="C14" s="53">
        <v>45777</v>
      </c>
      <c r="D14" s="52">
        <v>200</v>
      </c>
      <c r="E14" s="8"/>
      <c r="F14" s="52">
        <v>200</v>
      </c>
      <c r="G14" s="52" t="s">
        <v>106</v>
      </c>
      <c r="H14" s="2"/>
      <c r="I14" s="2"/>
      <c r="J14" s="2"/>
      <c r="K14" s="2"/>
      <c r="L14" s="2"/>
      <c r="M14" s="2"/>
    </row>
    <row r="15" spans="1:17" ht="18.75">
      <c r="A15" s="8">
        <v>10</v>
      </c>
      <c r="B15" s="8">
        <v>10</v>
      </c>
      <c r="C15" s="53">
        <v>45777</v>
      </c>
      <c r="D15" s="52">
        <v>200</v>
      </c>
      <c r="E15" s="8"/>
      <c r="F15" s="52">
        <v>200</v>
      </c>
      <c r="G15" s="52" t="s">
        <v>107</v>
      </c>
      <c r="H15" s="2"/>
      <c r="I15" s="2"/>
      <c r="J15" s="2"/>
      <c r="K15" s="2"/>
      <c r="L15" s="2"/>
      <c r="M15" s="2"/>
    </row>
    <row r="16" spans="1:17" ht="18.75">
      <c r="A16" s="8">
        <v>11</v>
      </c>
      <c r="B16" s="8">
        <v>11</v>
      </c>
      <c r="C16" s="53">
        <v>45777</v>
      </c>
      <c r="D16" s="52">
        <v>200</v>
      </c>
      <c r="E16" s="8"/>
      <c r="F16" s="52">
        <v>200</v>
      </c>
      <c r="G16" s="52" t="s">
        <v>108</v>
      </c>
      <c r="H16" s="2"/>
      <c r="I16" s="2"/>
      <c r="J16" s="2"/>
      <c r="K16" s="2"/>
      <c r="L16" s="2"/>
      <c r="M16" s="2"/>
    </row>
    <row r="17" spans="1:13" ht="18.75">
      <c r="A17" s="8">
        <v>12</v>
      </c>
      <c r="B17" s="8">
        <v>12</v>
      </c>
      <c r="C17" s="53">
        <v>45777</v>
      </c>
      <c r="D17" s="52">
        <v>200</v>
      </c>
      <c r="E17" s="8"/>
      <c r="F17" s="52">
        <v>200</v>
      </c>
      <c r="G17" s="52" t="s">
        <v>109</v>
      </c>
      <c r="H17" s="2"/>
      <c r="I17" s="2"/>
      <c r="J17" s="2"/>
      <c r="K17" s="2" t="s">
        <v>191</v>
      </c>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G17"/>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2" t="s">
        <v>116</v>
      </c>
      <c r="D2" s="112"/>
      <c r="E2" s="112"/>
      <c r="F2" s="112"/>
      <c r="G2" s="112"/>
      <c r="H2" s="112"/>
      <c r="I2" s="112"/>
      <c r="J2" s="112"/>
      <c r="K2" s="112"/>
      <c r="L2" s="112"/>
      <c r="M2" s="112"/>
      <c r="N2" s="112"/>
      <c r="O2" s="112"/>
      <c r="P2" s="112"/>
      <c r="Q2" s="112"/>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H21" sqref="H21"/>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28</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1100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70">
        <v>45992</v>
      </c>
      <c r="D17" s="8"/>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E19" sqref="E19"/>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2" t="s">
        <v>27</v>
      </c>
      <c r="D2" s="112"/>
      <c r="E2" s="112"/>
      <c r="F2" s="112"/>
      <c r="G2" s="112"/>
      <c r="H2" s="112"/>
      <c r="I2" s="112"/>
      <c r="J2" s="112"/>
      <c r="K2" s="112"/>
      <c r="L2" s="112"/>
      <c r="M2" s="112"/>
      <c r="N2" s="112"/>
      <c r="O2" s="112"/>
      <c r="P2" s="112"/>
      <c r="Q2" s="112"/>
    </row>
    <row r="3" spans="1:17" ht="57.75">
      <c r="C3" s="107"/>
      <c r="D3" s="18" t="s">
        <v>8</v>
      </c>
      <c r="E3" s="18"/>
      <c r="F3" s="18" t="s">
        <v>18</v>
      </c>
      <c r="G3" s="106"/>
      <c r="H3" s="106"/>
      <c r="I3" s="106"/>
      <c r="J3" s="106"/>
      <c r="K3" s="106"/>
      <c r="L3" s="106"/>
      <c r="M3" s="106"/>
      <c r="N3" s="106"/>
      <c r="O3" s="106"/>
      <c r="P3" s="106"/>
      <c r="Q3" s="106"/>
    </row>
    <row r="4" spans="1:17" ht="18.75">
      <c r="C4" s="69"/>
      <c r="D4" s="11">
        <f>SUM(D6:D2001)</f>
        <v>1100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E19" sqref="E19"/>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2" t="s">
        <v>29</v>
      </c>
      <c r="D2" s="112"/>
      <c r="E2" s="112"/>
      <c r="F2" s="112"/>
      <c r="G2" s="112"/>
      <c r="H2" s="112"/>
      <c r="I2" s="112"/>
      <c r="J2" s="112"/>
      <c r="K2" s="112"/>
      <c r="L2" s="112"/>
      <c r="M2" s="112"/>
      <c r="N2" s="112"/>
      <c r="O2" s="112"/>
      <c r="P2" s="112"/>
      <c r="Q2" s="112"/>
    </row>
    <row r="3" spans="1:17" ht="57.75">
      <c r="C3" s="82"/>
      <c r="D3" s="18" t="s">
        <v>8</v>
      </c>
      <c r="E3" s="18"/>
      <c r="F3" s="18" t="s">
        <v>18</v>
      </c>
      <c r="G3" s="1"/>
      <c r="H3" s="1"/>
      <c r="I3" s="1"/>
      <c r="J3" s="1"/>
      <c r="K3" s="1"/>
      <c r="L3" s="1"/>
      <c r="M3" s="1"/>
      <c r="N3" s="1"/>
      <c r="O3" s="1"/>
      <c r="P3" s="1"/>
      <c r="Q3" s="1"/>
    </row>
    <row r="4" spans="1:17" ht="18.75">
      <c r="C4" s="83"/>
      <c r="D4" s="11">
        <f>SUM(D6:D2001)</f>
        <v>600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v>45985</v>
      </c>
      <c r="D16" s="52">
        <v>50</v>
      </c>
      <c r="E16" s="8"/>
      <c r="F16" s="35">
        <v>50</v>
      </c>
      <c r="G16" s="52" t="s">
        <v>244</v>
      </c>
      <c r="H16" s="2"/>
      <c r="I16" s="2"/>
      <c r="J16" s="2"/>
      <c r="K16" s="2"/>
      <c r="L16" s="2"/>
      <c r="M16" s="2"/>
    </row>
    <row r="17" spans="1:13" ht="18.75">
      <c r="A17" s="35">
        <v>12</v>
      </c>
      <c r="B17" s="35">
        <v>12</v>
      </c>
      <c r="C17" s="84">
        <v>45985</v>
      </c>
      <c r="D17" s="52">
        <v>50</v>
      </c>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D15" sqref="D15"/>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2" t="s">
        <v>16</v>
      </c>
      <c r="D2" s="112"/>
      <c r="E2" s="112"/>
      <c r="F2" s="112"/>
      <c r="G2" s="112"/>
      <c r="H2" s="112"/>
      <c r="I2" s="112"/>
      <c r="J2" s="112"/>
      <c r="K2" s="112"/>
      <c r="L2" s="112"/>
      <c r="M2" s="112"/>
      <c r="N2" s="112"/>
      <c r="O2" s="112"/>
      <c r="P2" s="112"/>
      <c r="Q2" s="112"/>
    </row>
    <row r="3" spans="1:17" ht="57.75">
      <c r="C3" s="1"/>
      <c r="D3" s="18" t="s">
        <v>8</v>
      </c>
      <c r="E3" s="18"/>
      <c r="F3" s="18" t="s">
        <v>18</v>
      </c>
      <c r="G3" s="1"/>
      <c r="H3" s="1"/>
      <c r="I3" s="1"/>
      <c r="J3" s="1"/>
      <c r="K3" s="1"/>
      <c r="L3" s="1"/>
      <c r="M3" s="1"/>
      <c r="N3" s="1"/>
      <c r="O3" s="1"/>
      <c r="P3" s="1"/>
      <c r="Q3" s="1"/>
    </row>
    <row r="4" spans="1:17" ht="18.75">
      <c r="C4" s="10"/>
      <c r="D4" s="11">
        <f>SUM(D6:D2001)</f>
        <v>900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45941</v>
      </c>
      <c r="D15" s="80"/>
      <c r="E15" s="8"/>
      <c r="F15" s="80">
        <v>100</v>
      </c>
      <c r="G15" s="52" t="s">
        <v>243</v>
      </c>
      <c r="H15" s="2"/>
      <c r="I15" s="2"/>
      <c r="J15" s="2"/>
      <c r="K15" s="2"/>
      <c r="L15" s="2"/>
      <c r="M15" s="2"/>
    </row>
    <row r="16" spans="1:17" ht="18.75">
      <c r="A16" s="8">
        <v>11</v>
      </c>
      <c r="B16" s="80">
        <v>11</v>
      </c>
      <c r="C16" s="84">
        <v>45941</v>
      </c>
      <c r="D16" s="80"/>
      <c r="E16" s="8"/>
      <c r="F16" s="80">
        <v>100</v>
      </c>
      <c r="G16" s="52" t="s">
        <v>244</v>
      </c>
      <c r="H16" s="2"/>
      <c r="I16" s="2"/>
      <c r="J16" s="2"/>
      <c r="K16" s="2"/>
      <c r="L16" s="2"/>
      <c r="M16" s="2"/>
    </row>
    <row r="17" spans="1:13" ht="18.75">
      <c r="A17" s="8">
        <v>12</v>
      </c>
      <c r="B17" s="80">
        <v>12</v>
      </c>
      <c r="C17" s="84">
        <v>45999</v>
      </c>
      <c r="D17" s="80"/>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46" workbookViewId="0">
      <selection activeCell="B62" sqref="B62"/>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10" t="s">
        <v>193</v>
      </c>
      <c r="C2" s="110" t="s">
        <v>194</v>
      </c>
      <c r="D2" s="110" t="s">
        <v>195</v>
      </c>
      <c r="E2" s="110" t="s">
        <v>196</v>
      </c>
      <c r="F2" s="110" t="s">
        <v>197</v>
      </c>
      <c r="G2" s="110" t="s">
        <v>198</v>
      </c>
      <c r="H2" s="110" t="s">
        <v>199</v>
      </c>
      <c r="I2" s="110" t="s">
        <v>200</v>
      </c>
      <c r="J2" s="110" t="s">
        <v>201</v>
      </c>
      <c r="K2" s="110" t="s">
        <v>202</v>
      </c>
      <c r="L2" s="110" t="s">
        <v>203</v>
      </c>
      <c r="M2" s="110" t="s">
        <v>204</v>
      </c>
      <c r="N2" s="110" t="s">
        <v>205</v>
      </c>
      <c r="O2" s="110" t="s">
        <v>206</v>
      </c>
      <c r="P2" s="110" t="s">
        <v>207</v>
      </c>
      <c r="Q2" s="110" t="s">
        <v>208</v>
      </c>
    </row>
    <row r="3" spans="1:17" ht="26.25">
      <c r="B3" s="110" t="s">
        <v>0</v>
      </c>
      <c r="C3" s="110"/>
      <c r="D3" s="110"/>
      <c r="E3" s="110"/>
      <c r="F3" s="110"/>
      <c r="G3" s="110"/>
      <c r="H3" s="110"/>
      <c r="I3" s="110"/>
      <c r="J3" s="110"/>
      <c r="K3" s="110"/>
      <c r="L3" s="110"/>
      <c r="M3" s="110"/>
      <c r="N3" s="110"/>
      <c r="O3" s="110"/>
      <c r="P3" s="110"/>
      <c r="Q3" s="110"/>
    </row>
    <row r="4" spans="1:17" ht="18.75">
      <c r="B4" s="56" t="s">
        <v>9</v>
      </c>
      <c r="C4" s="60">
        <f>SUM(C6:C2000)</f>
        <v>18980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6</v>
      </c>
      <c r="G26" s="52" t="s">
        <v>334</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271</v>
      </c>
      <c r="F30" s="52" t="s">
        <v>272</v>
      </c>
      <c r="G30" s="52" t="s">
        <v>273</v>
      </c>
      <c r="H30" s="2"/>
      <c r="I30" s="2"/>
      <c r="J30" s="2"/>
      <c r="K30" s="2"/>
      <c r="L30" s="2"/>
      <c r="M30" s="2"/>
      <c r="N30" s="51"/>
      <c r="O30" s="51"/>
      <c r="P30" s="51"/>
      <c r="Q30" s="51"/>
    </row>
    <row r="31" spans="1:17" ht="18.75">
      <c r="A31" s="52">
        <v>26</v>
      </c>
      <c r="B31" s="58">
        <v>45787</v>
      </c>
      <c r="C31" s="62">
        <v>400</v>
      </c>
      <c r="E31" s="52" t="s">
        <v>220</v>
      </c>
      <c r="F31" s="52">
        <v>8</v>
      </c>
      <c r="G31" s="52" t="s">
        <v>274</v>
      </c>
      <c r="H31" s="2"/>
      <c r="I31" s="2"/>
      <c r="J31" s="2"/>
      <c r="K31" s="2"/>
      <c r="L31" s="2"/>
      <c r="M31" s="2"/>
      <c r="N31" s="51"/>
      <c r="O31" s="51"/>
      <c r="P31" s="51"/>
      <c r="Q31" s="51"/>
    </row>
    <row r="32" spans="1:17" ht="18.75">
      <c r="A32" s="52">
        <v>27</v>
      </c>
      <c r="B32" s="58">
        <v>45806</v>
      </c>
      <c r="C32" s="62">
        <v>200</v>
      </c>
      <c r="E32" s="52" t="s">
        <v>48</v>
      </c>
      <c r="F32" s="52">
        <v>7</v>
      </c>
      <c r="G32" s="52" t="s">
        <v>278</v>
      </c>
      <c r="H32" s="2"/>
      <c r="I32" s="2"/>
      <c r="J32" s="2"/>
      <c r="K32" s="2"/>
      <c r="L32" s="2"/>
      <c r="M32" s="2"/>
      <c r="N32" s="51"/>
      <c r="O32" s="51"/>
      <c r="P32" s="51"/>
      <c r="Q32" s="51"/>
    </row>
    <row r="33" spans="1:17" ht="18.75">
      <c r="A33" s="52">
        <v>28</v>
      </c>
      <c r="B33" s="58">
        <v>45806</v>
      </c>
      <c r="C33" s="62">
        <v>100</v>
      </c>
      <c r="D33" s="52"/>
      <c r="E33" s="52" t="s">
        <v>215</v>
      </c>
      <c r="F33" s="52">
        <v>4</v>
      </c>
      <c r="G33" s="52" t="s">
        <v>278</v>
      </c>
      <c r="H33" s="2"/>
      <c r="I33" s="2"/>
      <c r="J33" s="2"/>
      <c r="K33" s="2"/>
      <c r="L33" s="2"/>
      <c r="M33" s="2"/>
      <c r="N33" s="51"/>
      <c r="O33" s="51"/>
      <c r="P33" s="51"/>
      <c r="Q33" s="51"/>
    </row>
    <row r="34" spans="1:17" ht="18.75">
      <c r="A34" s="52">
        <v>29</v>
      </c>
      <c r="B34" s="58">
        <v>45806</v>
      </c>
      <c r="C34" s="62">
        <v>100</v>
      </c>
      <c r="D34" s="52"/>
      <c r="E34" s="52" t="s">
        <v>143</v>
      </c>
      <c r="F34" s="52">
        <v>3</v>
      </c>
      <c r="G34" s="52" t="s">
        <v>278</v>
      </c>
      <c r="H34" s="2"/>
      <c r="I34" s="2"/>
      <c r="J34" s="2"/>
      <c r="K34" s="2"/>
      <c r="L34" s="2"/>
      <c r="M34" s="2"/>
      <c r="N34" s="51"/>
      <c r="O34" s="51"/>
      <c r="P34" s="51"/>
      <c r="Q34" s="51"/>
    </row>
    <row r="35" spans="1:17" ht="18.75">
      <c r="A35" s="52">
        <v>30</v>
      </c>
      <c r="B35" s="58">
        <v>45809</v>
      </c>
      <c r="C35" s="62">
        <v>300</v>
      </c>
      <c r="D35" s="52"/>
      <c r="E35" s="52" t="s">
        <v>188</v>
      </c>
      <c r="F35" s="52">
        <v>1</v>
      </c>
      <c r="G35" s="52" t="s">
        <v>279</v>
      </c>
      <c r="H35" s="51"/>
      <c r="I35" s="51"/>
      <c r="J35" s="51"/>
      <c r="K35" s="51"/>
      <c r="L35" s="51"/>
      <c r="M35" s="51"/>
      <c r="N35" s="51"/>
      <c r="O35" s="51"/>
      <c r="P35" s="51"/>
      <c r="Q35" s="51"/>
    </row>
    <row r="36" spans="1:17" ht="18.75">
      <c r="A36" s="52">
        <v>31</v>
      </c>
      <c r="B36" s="58">
        <v>45922</v>
      </c>
      <c r="C36" s="62">
        <v>100</v>
      </c>
      <c r="D36" s="52"/>
      <c r="E36" s="52" t="s">
        <v>162</v>
      </c>
      <c r="F36" s="52">
        <v>2</v>
      </c>
      <c r="G36" s="52" t="s">
        <v>284</v>
      </c>
      <c r="H36" s="51"/>
      <c r="I36" s="51"/>
      <c r="J36" s="51"/>
      <c r="K36" s="51"/>
      <c r="L36" s="51"/>
      <c r="M36" s="51"/>
      <c r="N36" s="51"/>
      <c r="O36" s="51"/>
      <c r="P36" s="51"/>
      <c r="Q36" s="51"/>
    </row>
    <row r="37" spans="1:17" ht="18.75">
      <c r="A37" s="52">
        <v>32</v>
      </c>
      <c r="B37" s="58">
        <v>45830</v>
      </c>
      <c r="C37" s="62">
        <v>600</v>
      </c>
      <c r="D37" s="52"/>
      <c r="E37" s="52" t="s">
        <v>186</v>
      </c>
      <c r="F37" s="52">
        <v>9</v>
      </c>
      <c r="G37" s="52" t="s">
        <v>285</v>
      </c>
      <c r="H37" s="51"/>
      <c r="I37" s="51"/>
      <c r="J37" s="51"/>
      <c r="K37" s="51"/>
      <c r="L37" s="51"/>
      <c r="M37" s="51"/>
      <c r="N37" s="51"/>
      <c r="O37" s="51"/>
      <c r="P37" s="51"/>
      <c r="Q37" s="51"/>
    </row>
    <row r="38" spans="1:17" ht="18.75">
      <c r="A38" s="52">
        <v>33</v>
      </c>
      <c r="B38" s="58">
        <v>45839</v>
      </c>
      <c r="C38" s="62">
        <v>200</v>
      </c>
      <c r="E38" s="52" t="s">
        <v>48</v>
      </c>
      <c r="F38" s="52">
        <v>7</v>
      </c>
      <c r="G38" s="52" t="s">
        <v>288</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289</v>
      </c>
      <c r="H41" s="2"/>
      <c r="I41" s="51"/>
      <c r="J41" s="51"/>
      <c r="K41" s="51"/>
      <c r="L41" s="51"/>
      <c r="M41" s="51"/>
      <c r="N41" s="51"/>
      <c r="O41" s="51"/>
      <c r="P41" s="51"/>
      <c r="Q41" s="51"/>
    </row>
    <row r="42" spans="1:17" ht="18.75">
      <c r="A42" s="52">
        <v>37</v>
      </c>
      <c r="B42" s="58">
        <v>45861</v>
      </c>
      <c r="C42" s="62">
        <v>400</v>
      </c>
      <c r="E42" s="52" t="s">
        <v>220</v>
      </c>
      <c r="F42" s="52">
        <v>8</v>
      </c>
      <c r="G42" s="52" t="s">
        <v>292</v>
      </c>
      <c r="H42" s="2"/>
      <c r="I42" s="2"/>
      <c r="J42" s="2"/>
      <c r="K42" s="51"/>
      <c r="L42" s="51"/>
      <c r="M42" s="51"/>
      <c r="N42" s="51"/>
      <c r="O42" s="51"/>
      <c r="P42" s="51"/>
      <c r="Q42" s="51"/>
    </row>
    <row r="43" spans="1:17" ht="18.75">
      <c r="A43" s="52">
        <v>38</v>
      </c>
      <c r="B43" s="58">
        <v>45866</v>
      </c>
      <c r="C43" s="62">
        <v>600</v>
      </c>
      <c r="D43" s="52"/>
      <c r="E43" s="52" t="s">
        <v>271</v>
      </c>
      <c r="F43" s="52" t="s">
        <v>272</v>
      </c>
      <c r="G43" s="52" t="s">
        <v>293</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309</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313</v>
      </c>
      <c r="H54" s="51"/>
      <c r="I54" s="51"/>
      <c r="J54" s="51"/>
      <c r="K54" s="51"/>
      <c r="L54" s="51"/>
      <c r="M54" s="51"/>
      <c r="N54" s="51"/>
      <c r="O54" s="51"/>
      <c r="P54" s="51"/>
      <c r="Q54" s="51"/>
    </row>
    <row r="55" spans="1:17" ht="18.75">
      <c r="A55" s="52">
        <v>50</v>
      </c>
      <c r="B55" s="58">
        <v>45901</v>
      </c>
      <c r="C55" s="62">
        <v>100</v>
      </c>
      <c r="D55" s="52"/>
      <c r="E55" s="52" t="s">
        <v>162</v>
      </c>
      <c r="F55" s="52">
        <v>2</v>
      </c>
      <c r="G55" s="52" t="s">
        <v>314</v>
      </c>
      <c r="H55" s="51"/>
      <c r="I55" s="51"/>
      <c r="J55" s="51"/>
      <c r="K55" s="51"/>
      <c r="L55" s="51"/>
      <c r="M55" s="51"/>
      <c r="N55" s="51"/>
      <c r="O55" s="51"/>
      <c r="P55" s="51"/>
      <c r="Q55" s="51"/>
    </row>
    <row r="56" spans="1:17" ht="18.75">
      <c r="A56" s="52">
        <v>51</v>
      </c>
      <c r="B56" s="58">
        <v>45934</v>
      </c>
      <c r="C56" s="62">
        <v>100</v>
      </c>
      <c r="D56" s="52"/>
      <c r="E56" s="52" t="s">
        <v>162</v>
      </c>
      <c r="F56" s="52">
        <v>2</v>
      </c>
      <c r="G56" s="52" t="s">
        <v>315</v>
      </c>
      <c r="H56" s="51"/>
      <c r="I56" s="51"/>
      <c r="J56" s="51"/>
      <c r="K56" s="51"/>
      <c r="L56" s="51"/>
      <c r="M56" s="51"/>
      <c r="N56" s="51"/>
      <c r="O56" s="51"/>
      <c r="P56" s="51"/>
      <c r="Q56" s="51"/>
    </row>
    <row r="57" spans="1:17" ht="18.75">
      <c r="A57" s="52">
        <v>52</v>
      </c>
      <c r="B57" s="58">
        <v>45970</v>
      </c>
      <c r="C57" s="62">
        <v>2400</v>
      </c>
      <c r="D57" s="52"/>
      <c r="E57" s="52" t="s">
        <v>321</v>
      </c>
      <c r="F57" s="52">
        <v>5</v>
      </c>
      <c r="G57" s="52" t="s">
        <v>322</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v>45985</v>
      </c>
      <c r="C61" s="62">
        <v>100</v>
      </c>
      <c r="D61" s="52"/>
      <c r="E61" s="52" t="s">
        <v>162</v>
      </c>
      <c r="F61" s="52">
        <v>2</v>
      </c>
      <c r="G61" s="52" t="s">
        <v>333</v>
      </c>
      <c r="H61" s="51"/>
      <c r="I61" s="51"/>
      <c r="J61" s="51"/>
      <c r="K61" s="51"/>
      <c r="L61" s="51"/>
      <c r="M61" s="51"/>
      <c r="N61" s="51"/>
      <c r="O61" s="51"/>
      <c r="P61" s="51"/>
      <c r="Q61" s="51"/>
    </row>
    <row r="62" spans="1:17" ht="18.75">
      <c r="A62" s="52">
        <v>57</v>
      </c>
      <c r="B62" s="58">
        <v>45989</v>
      </c>
      <c r="C62" s="62">
        <v>400</v>
      </c>
      <c r="E62" s="52" t="s">
        <v>220</v>
      </c>
      <c r="F62" s="52">
        <v>8</v>
      </c>
      <c r="G62" s="52" t="s">
        <v>335</v>
      </c>
      <c r="H62" s="51"/>
      <c r="I62" s="51"/>
      <c r="J62" s="51"/>
      <c r="K62" s="51"/>
      <c r="L62" s="51"/>
      <c r="M62" s="51"/>
      <c r="N62" s="51"/>
      <c r="O62" s="51"/>
      <c r="P62" s="51"/>
      <c r="Q62" s="51"/>
    </row>
    <row r="63" spans="1:17" ht="18.75">
      <c r="A63" s="52">
        <v>58</v>
      </c>
      <c r="B63" s="58"/>
      <c r="C63" s="62"/>
      <c r="D63" s="52"/>
      <c r="E63" s="52"/>
      <c r="F63" s="52"/>
      <c r="G63" s="52"/>
      <c r="H63" s="51"/>
      <c r="I63" s="51"/>
      <c r="J63" s="51"/>
      <c r="K63" s="51"/>
      <c r="L63" s="51"/>
      <c r="M63" s="51"/>
      <c r="N63" s="51"/>
      <c r="O63" s="51"/>
      <c r="P63" s="51"/>
      <c r="Q63" s="51"/>
    </row>
    <row r="64" spans="1:17" ht="18.75">
      <c r="A64" s="52">
        <v>59</v>
      </c>
      <c r="B64" s="58"/>
      <c r="C64" s="6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J9" sqref="J9"/>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2" t="s">
        <v>13</v>
      </c>
      <c r="C2" s="112"/>
      <c r="D2" s="112"/>
      <c r="E2" s="112"/>
      <c r="F2" s="112"/>
      <c r="G2" s="112"/>
      <c r="H2" s="112"/>
      <c r="I2" s="112"/>
      <c r="J2" s="112"/>
      <c r="K2" s="112"/>
      <c r="L2" s="112"/>
      <c r="M2" s="112"/>
      <c r="N2" s="112"/>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18980</v>
      </c>
      <c r="D5" s="78">
        <f>outcomes!C3</f>
        <v>19509</v>
      </c>
      <c r="E5" s="79">
        <f>(C3+C5)-D5</f>
        <v>5074</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abSelected="1" topLeftCell="A73" workbookViewId="0">
      <selection activeCell="B91" sqref="B91"/>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2" t="s">
        <v>10</v>
      </c>
      <c r="C2" s="112"/>
      <c r="D2" s="112"/>
      <c r="E2" s="112"/>
      <c r="F2" s="112"/>
      <c r="G2" s="112"/>
      <c r="H2" s="112"/>
      <c r="I2" s="112"/>
      <c r="J2" s="112"/>
      <c r="K2" s="112"/>
      <c r="L2" s="112"/>
      <c r="M2" s="112"/>
      <c r="N2" s="112"/>
    </row>
    <row r="3" spans="1:20" ht="18.75">
      <c r="B3" s="65" t="s">
        <v>12</v>
      </c>
      <c r="C3" s="60">
        <f>SUM(C5:C2002)</f>
        <v>19509</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286</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275</v>
      </c>
    </row>
    <row r="37" spans="1:20" ht="18.75">
      <c r="A37" s="35">
        <v>33</v>
      </c>
      <c r="B37" s="109">
        <v>45789</v>
      </c>
      <c r="C37" s="62">
        <v>20</v>
      </c>
      <c r="D37" s="52" t="s">
        <v>236</v>
      </c>
    </row>
    <row r="38" spans="1:20" ht="18.75">
      <c r="A38" s="35">
        <v>34</v>
      </c>
      <c r="B38" s="67">
        <v>45802</v>
      </c>
      <c r="C38" s="62">
        <v>670</v>
      </c>
      <c r="D38" s="52" t="s">
        <v>276</v>
      </c>
    </row>
    <row r="39" spans="1:20" ht="18.75">
      <c r="A39" s="35">
        <v>35</v>
      </c>
      <c r="B39" s="67">
        <v>45802</v>
      </c>
      <c r="C39" s="62">
        <v>40</v>
      </c>
      <c r="D39" s="52" t="s">
        <v>233</v>
      </c>
    </row>
    <row r="40" spans="1:20" ht="18.75">
      <c r="A40" s="35">
        <v>36</v>
      </c>
      <c r="B40" s="67">
        <v>45806</v>
      </c>
      <c r="C40" s="62">
        <v>400</v>
      </c>
      <c r="D40" s="52" t="s">
        <v>277</v>
      </c>
      <c r="E40" s="2"/>
    </row>
    <row r="41" spans="1:20" ht="18.75">
      <c r="A41" s="35">
        <v>37</v>
      </c>
      <c r="B41" s="67">
        <v>45829</v>
      </c>
      <c r="C41" s="62">
        <v>670</v>
      </c>
      <c r="D41" s="52" t="s">
        <v>280</v>
      </c>
    </row>
    <row r="42" spans="1:20" ht="18.75">
      <c r="A42" s="35">
        <v>38</v>
      </c>
      <c r="B42" s="67">
        <v>45829</v>
      </c>
      <c r="C42" s="62">
        <v>5</v>
      </c>
      <c r="D42" s="52" t="s">
        <v>281</v>
      </c>
    </row>
    <row r="43" spans="1:20" ht="18.75">
      <c r="A43" s="35">
        <v>39</v>
      </c>
      <c r="B43" s="67">
        <v>45829</v>
      </c>
      <c r="C43" s="62">
        <v>68</v>
      </c>
      <c r="D43" s="52" t="s">
        <v>282</v>
      </c>
    </row>
    <row r="44" spans="1:20" ht="18.75">
      <c r="A44" s="35">
        <v>40</v>
      </c>
      <c r="B44" s="67">
        <v>45829</v>
      </c>
      <c r="C44" s="62">
        <v>10</v>
      </c>
      <c r="D44" s="52" t="s">
        <v>283</v>
      </c>
    </row>
    <row r="45" spans="1:20" ht="18.75">
      <c r="A45" s="35">
        <v>41</v>
      </c>
      <c r="B45" s="67">
        <v>45829</v>
      </c>
      <c r="C45" s="62">
        <v>20</v>
      </c>
      <c r="D45" s="52" t="s">
        <v>236</v>
      </c>
    </row>
    <row r="46" spans="1:20" ht="18.75">
      <c r="A46" s="35">
        <v>42</v>
      </c>
      <c r="B46" s="67">
        <v>45833</v>
      </c>
      <c r="C46" s="62">
        <v>400</v>
      </c>
      <c r="D46" s="52" t="s">
        <v>287</v>
      </c>
    </row>
    <row r="47" spans="1:20" ht="18.75">
      <c r="A47" s="35">
        <v>43</v>
      </c>
      <c r="B47" s="67">
        <v>45853</v>
      </c>
      <c r="C47" s="62">
        <v>126</v>
      </c>
      <c r="D47" s="52" t="s">
        <v>290</v>
      </c>
    </row>
    <row r="48" spans="1:20" ht="18.75">
      <c r="A48" s="35">
        <v>44</v>
      </c>
      <c r="B48" s="67">
        <v>45853</v>
      </c>
      <c r="C48" s="62">
        <v>20</v>
      </c>
      <c r="D48" s="52" t="s">
        <v>236</v>
      </c>
    </row>
    <row r="49" spans="1:4" ht="18.75">
      <c r="A49" s="35">
        <v>45</v>
      </c>
      <c r="B49" s="67">
        <v>45858</v>
      </c>
      <c r="C49" s="62">
        <v>680</v>
      </c>
      <c r="D49" s="52" t="s">
        <v>291</v>
      </c>
    </row>
    <row r="50" spans="1:4" ht="18.75">
      <c r="A50" s="35">
        <v>46</v>
      </c>
      <c r="B50" s="67">
        <v>45858</v>
      </c>
      <c r="C50" s="62">
        <v>5</v>
      </c>
      <c r="D50" s="52" t="s">
        <v>281</v>
      </c>
    </row>
    <row r="51" spans="1:4" ht="18.75">
      <c r="A51" s="35">
        <v>47</v>
      </c>
      <c r="B51" s="67">
        <v>45861</v>
      </c>
      <c r="C51" s="62">
        <v>130</v>
      </c>
      <c r="D51" s="52" t="s">
        <v>249</v>
      </c>
    </row>
    <row r="52" spans="1:4" ht="18.75">
      <c r="A52" s="35">
        <v>48</v>
      </c>
      <c r="B52" s="67">
        <v>45871</v>
      </c>
      <c r="C52" s="62">
        <v>400</v>
      </c>
      <c r="D52" s="52" t="s">
        <v>297</v>
      </c>
    </row>
    <row r="53" spans="1:4" ht="18.75">
      <c r="A53" s="35">
        <v>49</v>
      </c>
      <c r="B53" s="67">
        <v>45871</v>
      </c>
      <c r="C53" s="62">
        <v>100</v>
      </c>
      <c r="D53" s="52" t="s">
        <v>296</v>
      </c>
    </row>
    <row r="54" spans="1:4" ht="18.75">
      <c r="A54" s="35">
        <v>50</v>
      </c>
      <c r="B54" s="67">
        <v>45871</v>
      </c>
      <c r="C54" s="62">
        <v>20</v>
      </c>
      <c r="D54" s="52" t="s">
        <v>236</v>
      </c>
    </row>
    <row r="55" spans="1:4" ht="18.75">
      <c r="A55" s="35">
        <v>51</v>
      </c>
      <c r="B55" s="67">
        <v>45882</v>
      </c>
      <c r="C55" s="62">
        <v>125</v>
      </c>
      <c r="D55" s="52" t="s">
        <v>308</v>
      </c>
    </row>
    <row r="56" spans="1:4" ht="18.75">
      <c r="A56" s="35">
        <v>52</v>
      </c>
      <c r="B56" s="67">
        <v>45882</v>
      </c>
      <c r="C56" s="62">
        <v>5</v>
      </c>
      <c r="D56" s="52" t="s">
        <v>281</v>
      </c>
    </row>
    <row r="57" spans="1:4" ht="18.75">
      <c r="A57" s="35">
        <v>53</v>
      </c>
      <c r="B57" s="67">
        <v>45882</v>
      </c>
      <c r="C57" s="62">
        <v>20</v>
      </c>
      <c r="D57" s="52" t="s">
        <v>236</v>
      </c>
    </row>
    <row r="58" spans="1:4" ht="18.75">
      <c r="A58" s="35">
        <v>54</v>
      </c>
      <c r="B58" s="67">
        <v>45887</v>
      </c>
      <c r="C58" s="62">
        <v>670</v>
      </c>
      <c r="D58" s="52" t="s">
        <v>298</v>
      </c>
    </row>
    <row r="59" spans="1:4" ht="18.75">
      <c r="A59" s="35">
        <v>55</v>
      </c>
      <c r="B59" s="67">
        <v>45887</v>
      </c>
      <c r="C59" s="62">
        <v>5</v>
      </c>
      <c r="D59" s="52" t="s">
        <v>281</v>
      </c>
    </row>
    <row r="60" spans="1:4" ht="18.75">
      <c r="A60" s="35">
        <v>56</v>
      </c>
      <c r="B60" s="67">
        <v>45898</v>
      </c>
      <c r="C60" s="62">
        <v>25</v>
      </c>
      <c r="D60" s="52" t="s">
        <v>299</v>
      </c>
    </row>
    <row r="61" spans="1:4" ht="18.75">
      <c r="A61" s="35">
        <v>57</v>
      </c>
      <c r="B61" s="67">
        <v>45899</v>
      </c>
      <c r="C61" s="62">
        <v>25</v>
      </c>
      <c r="D61" s="52" t="s">
        <v>300</v>
      </c>
    </row>
    <row r="62" spans="1:4" ht="18.75">
      <c r="A62" s="35">
        <v>58</v>
      </c>
      <c r="B62" s="67">
        <v>45899</v>
      </c>
      <c r="C62" s="62">
        <v>400</v>
      </c>
      <c r="D62" s="52" t="s">
        <v>301</v>
      </c>
    </row>
    <row r="63" spans="1:4" ht="18.75">
      <c r="A63" s="35">
        <v>59</v>
      </c>
      <c r="B63" s="67">
        <v>45899</v>
      </c>
      <c r="C63" s="62">
        <v>10</v>
      </c>
      <c r="D63" s="52" t="s">
        <v>302</v>
      </c>
    </row>
    <row r="64" spans="1:4" ht="18.75">
      <c r="A64" s="35">
        <v>60</v>
      </c>
      <c r="B64" s="67">
        <v>45899</v>
      </c>
      <c r="C64" s="62">
        <v>15</v>
      </c>
      <c r="D64" s="52" t="s">
        <v>303</v>
      </c>
    </row>
    <row r="65" spans="1:4" ht="18.75">
      <c r="A65" s="35">
        <v>61</v>
      </c>
      <c r="B65" s="67">
        <v>45920</v>
      </c>
      <c r="C65" s="62">
        <v>150</v>
      </c>
      <c r="D65" s="52" t="s">
        <v>304</v>
      </c>
    </row>
    <row r="66" spans="1:4" ht="18.75">
      <c r="A66" s="35">
        <v>62</v>
      </c>
      <c r="B66" s="67">
        <v>45920</v>
      </c>
      <c r="C66" s="62">
        <v>50</v>
      </c>
      <c r="D66" s="52" t="s">
        <v>306</v>
      </c>
    </row>
    <row r="67" spans="1:4" ht="18.75">
      <c r="A67" s="35">
        <v>63</v>
      </c>
      <c r="B67" s="67">
        <v>45920</v>
      </c>
      <c r="C67" s="62">
        <v>20</v>
      </c>
      <c r="D67" s="52" t="s">
        <v>305</v>
      </c>
    </row>
    <row r="68" spans="1:4" ht="18.75">
      <c r="A68" s="35">
        <v>64</v>
      </c>
      <c r="B68" s="67">
        <v>45922</v>
      </c>
      <c r="C68" s="62">
        <v>111</v>
      </c>
      <c r="D68" s="52" t="s">
        <v>307</v>
      </c>
    </row>
    <row r="69" spans="1:4" ht="18.75">
      <c r="A69" s="35">
        <v>65</v>
      </c>
      <c r="B69" s="67">
        <v>45923</v>
      </c>
      <c r="C69" s="62">
        <v>670</v>
      </c>
      <c r="D69" s="52" t="s">
        <v>310</v>
      </c>
    </row>
    <row r="70" spans="1:4" ht="18.75">
      <c r="A70" s="35">
        <v>66</v>
      </c>
      <c r="B70" s="67">
        <v>45923</v>
      </c>
      <c r="C70" s="62">
        <v>5</v>
      </c>
      <c r="D70" s="52" t="s">
        <v>281</v>
      </c>
    </row>
    <row r="71" spans="1:4" ht="18.75">
      <c r="A71" s="35">
        <v>67</v>
      </c>
      <c r="B71" s="67">
        <v>45932</v>
      </c>
      <c r="C71" s="62">
        <v>400</v>
      </c>
      <c r="D71" s="52" t="s">
        <v>312</v>
      </c>
    </row>
    <row r="72" spans="1:4" ht="18.75">
      <c r="A72" s="35">
        <v>68</v>
      </c>
      <c r="B72" s="67">
        <v>45932</v>
      </c>
      <c r="C72" s="62">
        <v>45</v>
      </c>
      <c r="D72" s="52" t="s">
        <v>311</v>
      </c>
    </row>
    <row r="73" spans="1:4" ht="18.75">
      <c r="A73" s="35">
        <v>69</v>
      </c>
      <c r="B73" s="67">
        <v>45951</v>
      </c>
      <c r="C73" s="62">
        <v>830</v>
      </c>
      <c r="D73" s="52" t="s">
        <v>316</v>
      </c>
    </row>
    <row r="74" spans="1:4" ht="18.75">
      <c r="A74" s="35">
        <v>70</v>
      </c>
      <c r="B74" s="67">
        <v>45952</v>
      </c>
      <c r="C74" s="62">
        <v>400</v>
      </c>
      <c r="D74" s="52" t="s">
        <v>317</v>
      </c>
    </row>
    <row r="75" spans="1:4" ht="18.75">
      <c r="A75" s="35">
        <v>71</v>
      </c>
      <c r="B75" s="67">
        <v>45952</v>
      </c>
      <c r="C75" s="62">
        <v>323</v>
      </c>
      <c r="D75" s="52" t="s">
        <v>318</v>
      </c>
    </row>
    <row r="76" spans="1:4" ht="18.75">
      <c r="A76" s="35">
        <v>72</v>
      </c>
      <c r="B76" s="67">
        <v>45952</v>
      </c>
      <c r="C76" s="62">
        <v>4</v>
      </c>
      <c r="D76" s="52" t="s">
        <v>283</v>
      </c>
    </row>
    <row r="77" spans="1:4" ht="18.75">
      <c r="A77" s="35">
        <v>73</v>
      </c>
      <c r="B77" s="67">
        <v>45952</v>
      </c>
      <c r="C77" s="62">
        <v>20</v>
      </c>
      <c r="D77" s="52" t="s">
        <v>236</v>
      </c>
    </row>
    <row r="78" spans="1:4" ht="18.75">
      <c r="A78" s="35">
        <v>74</v>
      </c>
      <c r="B78" s="67">
        <v>45952</v>
      </c>
      <c r="C78" s="62">
        <v>20</v>
      </c>
      <c r="D78" s="52" t="s">
        <v>319</v>
      </c>
    </row>
    <row r="79" spans="1:4" ht="18.75">
      <c r="A79" s="35">
        <v>75</v>
      </c>
      <c r="B79" s="67">
        <v>45958</v>
      </c>
      <c r="C79" s="62">
        <v>1150</v>
      </c>
      <c r="D79" s="52" t="s">
        <v>320</v>
      </c>
    </row>
    <row r="80" spans="1:4" ht="18.75">
      <c r="A80" s="35">
        <v>76</v>
      </c>
      <c r="B80" s="67">
        <v>45971</v>
      </c>
      <c r="C80" s="62">
        <v>150</v>
      </c>
      <c r="D80" s="52" t="s">
        <v>324</v>
      </c>
    </row>
    <row r="81" spans="1:4" ht="18.75">
      <c r="A81" s="35">
        <v>77</v>
      </c>
      <c r="B81" s="67">
        <v>45971</v>
      </c>
      <c r="C81" s="62">
        <v>150</v>
      </c>
      <c r="D81" s="52" t="s">
        <v>323</v>
      </c>
    </row>
    <row r="82" spans="1:4" ht="18.75">
      <c r="A82" s="35">
        <v>78</v>
      </c>
      <c r="B82" s="67" t="s">
        <v>326</v>
      </c>
      <c r="C82" s="111">
        <v>-70</v>
      </c>
      <c r="D82" s="52" t="s">
        <v>325</v>
      </c>
    </row>
    <row r="83" spans="1:4" ht="18.75">
      <c r="A83" s="35">
        <v>79</v>
      </c>
      <c r="B83" s="67">
        <v>45884</v>
      </c>
      <c r="C83" s="62">
        <v>80</v>
      </c>
      <c r="D83" s="52" t="s">
        <v>327</v>
      </c>
    </row>
    <row r="84" spans="1:4" ht="18.75">
      <c r="A84" s="35">
        <v>80</v>
      </c>
      <c r="B84" s="67">
        <v>45983</v>
      </c>
      <c r="C84" s="62">
        <v>849</v>
      </c>
      <c r="D84" s="52" t="s">
        <v>328</v>
      </c>
    </row>
    <row r="85" spans="1:4" ht="18.75">
      <c r="A85" s="35">
        <v>81</v>
      </c>
      <c r="B85" s="67">
        <v>45983</v>
      </c>
      <c r="C85" s="62">
        <v>20</v>
      </c>
      <c r="D85" s="52" t="s">
        <v>236</v>
      </c>
    </row>
    <row r="86" spans="1:4" ht="18.75">
      <c r="A86" s="35">
        <v>82</v>
      </c>
      <c r="B86" s="67">
        <v>45983</v>
      </c>
      <c r="C86" s="62">
        <v>5</v>
      </c>
      <c r="D86" s="52" t="s">
        <v>329</v>
      </c>
    </row>
    <row r="87" spans="1:4" ht="18.75">
      <c r="A87" s="35">
        <v>83</v>
      </c>
      <c r="B87" s="67">
        <v>45983</v>
      </c>
      <c r="C87" s="62">
        <v>50</v>
      </c>
      <c r="D87" s="52" t="s">
        <v>331</v>
      </c>
    </row>
    <row r="88" spans="1:4" ht="18.75">
      <c r="A88" s="35">
        <v>84</v>
      </c>
      <c r="B88" s="67">
        <v>45983</v>
      </c>
      <c r="C88" s="62">
        <v>150</v>
      </c>
      <c r="D88" s="52" t="s">
        <v>330</v>
      </c>
    </row>
    <row r="89" spans="1:4" ht="18.75">
      <c r="A89" s="35">
        <v>85</v>
      </c>
      <c r="B89" s="67">
        <v>45985</v>
      </c>
      <c r="C89" s="62">
        <v>930</v>
      </c>
      <c r="D89" s="52" t="s">
        <v>316</v>
      </c>
    </row>
    <row r="90" spans="1:4" ht="18.75">
      <c r="A90" s="35">
        <v>86</v>
      </c>
      <c r="B90" s="67">
        <v>45984</v>
      </c>
      <c r="C90" s="62">
        <v>100</v>
      </c>
      <c r="D90" s="52" t="s">
        <v>332</v>
      </c>
    </row>
    <row r="91" spans="1:4" ht="18.75">
      <c r="A91" s="35">
        <v>87</v>
      </c>
    </row>
    <row r="92" spans="1:4" ht="18.75">
      <c r="A92" s="35">
        <v>88</v>
      </c>
    </row>
    <row r="93" spans="1:4" ht="18.75">
      <c r="A93" s="35">
        <v>89</v>
      </c>
    </row>
    <row r="94" spans="1:4" ht="18.75">
      <c r="A94" s="35">
        <v>90</v>
      </c>
    </row>
    <row r="95" spans="1:4" ht="18.75">
      <c r="A95" s="35">
        <v>91</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2025-11-29T09:22:15Z</dcterms:modified>
</cp:coreProperties>
</file>