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<sst xmlns="http://schemas.openxmlformats.org/spreadsheetml/2006/main" count="906" uniqueCount="337">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</sst>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1688576"/>
        <c:axId val="161719040"/>
      </c:barChart>
      <c:dateAx>
        <c:axId val="161688576"/>
        <c:scaling>
          <c:orientation val="minMax"/>
        </c:scaling>
        <c:axPos val="b"/>
        <c:numFmt formatCode="[$-1010000]yyyy/mm/dd;@" sourceLinked="1"/>
        <c:tickLblPos val="nextTo"/>
        <c:crossAx val="161719040"/>
        <c:crosses val="autoZero"/>
        <c:auto val="1"/>
        <c:lblOffset val="100"/>
      </c:dateAx>
      <c:valAx>
        <c:axId val="161719040"/>
        <c:scaling>
          <c:orientation val="minMax"/>
        </c:scaling>
        <c:axPos val="l"/>
        <c:majorGridlines/>
        <c:numFmt formatCode="General" sourceLinked="1"/>
        <c:tickLblPos val="nextTo"/>
        <c:crossAx val="161688576"/>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0</v>
      </c>
      <c r="L13" s="28">
        <f>Apartment10!D13</f>
        <v>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0</v>
      </c>
      <c r="L14" s="28">
        <f>Apartment10!D14</f>
        <v>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200</v>
      </c>
      <c r="I15" s="28">
        <f>Apartment7!D15</f>
        <v>200</v>
      </c>
      <c r="J15" s="28">
        <f>Apartment8!D15</f>
        <v>0</v>
      </c>
      <c r="K15" s="28">
        <f>Apartment9!D15</f>
        <v>0</v>
      </c>
      <c r="L15" s="28">
        <f>Apartment10!D15</f>
        <v>0</v>
      </c>
      <c r="M15" s="28">
        <f>Apartment11!D15</f>
        <v>0</v>
      </c>
      <c r="N15" s="28">
        <f>Apartment12!D15</f>
        <v>200</v>
      </c>
      <c r="O15" s="28">
        <f>Apartment13!D15</f>
        <v>0</v>
      </c>
      <c r="P15" s="28">
        <f>Apartment14!D15</f>
        <v>0</v>
      </c>
    </row>
    <row r="16" spans="1:20" ht="23.25">
      <c r="A16" s="8"/>
      <c r="B16" s="27">
        <v>11</v>
      </c>
      <c r="C16" s="28">
        <f>Apartment1!D16</f>
        <v>0</v>
      </c>
      <c r="D16" s="28">
        <f>Apartment2!D16</f>
        <v>50</v>
      </c>
      <c r="E16" s="28">
        <f>Apartment3!D16</f>
        <v>100</v>
      </c>
      <c r="F16" s="28">
        <f>Apartment4!D16</f>
        <v>100</v>
      </c>
      <c r="G16" s="28">
        <f>Apartment5!D16</f>
        <v>200</v>
      </c>
      <c r="H16" s="28">
        <f>Apartment6!D16</f>
        <v>200</v>
      </c>
      <c r="I16" s="28">
        <f>Apartment7!D16</f>
        <v>200</v>
      </c>
      <c r="J16" s="28">
        <f>Apartment8!D16</f>
        <v>0</v>
      </c>
      <c r="K16" s="28">
        <f>Apartment9!D16</f>
        <v>0</v>
      </c>
      <c r="L16" s="28">
        <f>Apartment10!D16</f>
        <v>0</v>
      </c>
      <c r="M16" s="28">
        <f>Apartment11!D16</f>
        <v>0</v>
      </c>
      <c r="N16" s="28">
        <f>Apartment12!D16</f>
        <v>200</v>
      </c>
      <c r="O16" s="28">
        <f>Apartment13!D16</f>
        <v>0</v>
      </c>
      <c r="P16" s="28">
        <f>Apartment14!D16</f>
        <v>0</v>
      </c>
    </row>
    <row r="17" spans="1:16" ht="23.25">
      <c r="A17" s="8"/>
      <c r="B17" s="27">
        <v>12</v>
      </c>
      <c r="C17" s="28">
        <f>Apartment1!D17</f>
        <v>0</v>
      </c>
      <c r="D17" s="28">
        <f>Apartment2!D17</f>
        <v>50</v>
      </c>
      <c r="E17" s="28">
        <f>Apartment3!D17</f>
        <v>100</v>
      </c>
      <c r="F17" s="28">
        <f>Apartment4!D17</f>
        <v>100</v>
      </c>
      <c r="G17" s="28">
        <f>Apartment5!D17</f>
        <v>200</v>
      </c>
      <c r="H17" s="28">
        <f>Apartment6!D17</f>
        <v>200</v>
      </c>
      <c r="I17" s="28">
        <f>Apartment7!D17</f>
        <v>200</v>
      </c>
      <c r="J17" s="28">
        <f>Apartment8!D17</f>
        <v>0</v>
      </c>
      <c r="K17" s="28">
        <f>Apartment9!D17</f>
        <v>0</v>
      </c>
      <c r="L17" s="28">
        <f>Apartment10!D17</f>
        <v>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1200</v>
      </c>
      <c r="D7" s="102"/>
      <c r="E7" s="104">
        <f t="shared" si="0"/>
        <v>-1200</v>
      </c>
      <c r="F7" s="2" t="s">
        <v>48</v>
      </c>
      <c r="G7" s="101"/>
      <c r="H7" s="102"/>
      <c r="I7" s="104">
        <f t="shared" si="1"/>
        <v>0</v>
      </c>
      <c r="J7" s="2"/>
    </row>
    <row r="8" spans="1:14" ht="18.75">
      <c r="A8" s="8">
        <v>4</v>
      </c>
      <c r="B8" s="20">
        <v>4</v>
      </c>
      <c r="C8" s="101">
        <f>Apartment4!D4</f>
        <v>1200</v>
      </c>
      <c r="D8" s="102"/>
      <c r="E8" s="104">
        <f t="shared" si="0"/>
        <v>-1200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2400</v>
      </c>
      <c r="D11" s="102"/>
      <c r="E11" s="104">
        <f t="shared" si="0"/>
        <v>-2400</v>
      </c>
      <c r="F11" s="2" t="s">
        <v>48</v>
      </c>
      <c r="G11" s="101"/>
      <c r="H11" s="102"/>
      <c r="I11" s="104">
        <f t="shared" si="1"/>
        <v>0</v>
      </c>
      <c r="J11" s="2"/>
    </row>
    <row r="12" spans="1:14" ht="18.75">
      <c r="A12" s="8">
        <v>8</v>
      </c>
      <c r="B12" s="20">
        <v>8</v>
      </c>
      <c r="C12" s="101">
        <f>Apartment8!D4</f>
        <v>1800</v>
      </c>
      <c r="D12" s="102"/>
      <c r="E12" s="104">
        <f t="shared" si="0"/>
        <v>-1800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295</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1800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45993</v>
      </c>
      <c r="D17" s="35">
        <v>200</v>
      </c>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53">
        <v>45993</v>
      </c>
      <c r="D17" s="8">
        <v>100</v>
      </c>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v>100</v>
      </c>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52" workbookViewId="0">
      <selection activeCell="B64" sqref="B64:B65"/>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19380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v>45993</v>
      </c>
      <c r="C63" s="62">
        <v>200</v>
      </c>
      <c r="E63" s="52" t="s">
        <v>48</v>
      </c>
      <c r="F63" s="52">
        <v>7</v>
      </c>
      <c r="G63" s="52" t="s">
        <v>230</v>
      </c>
      <c r="H63" s="51"/>
      <c r="I63" s="51"/>
      <c r="J63" s="51"/>
      <c r="K63" s="51"/>
      <c r="L63" s="51"/>
      <c r="M63" s="51"/>
      <c r="N63" s="51"/>
      <c r="O63" s="51"/>
      <c r="P63" s="51"/>
      <c r="Q63" s="51"/>
    </row>
    <row r="64" spans="1:17" ht="18.75">
      <c r="A64" s="52">
        <v>59</v>
      </c>
      <c r="B64" s="58">
        <v>45993</v>
      </c>
      <c r="C64" s="62">
        <v>100</v>
      </c>
      <c r="D64" s="52"/>
      <c r="E64" s="52" t="s">
        <v>215</v>
      </c>
      <c r="F64" s="52">
        <v>4</v>
      </c>
      <c r="G64" s="52" t="s">
        <v>230</v>
      </c>
      <c r="H64" s="51"/>
      <c r="I64" s="51"/>
      <c r="J64" s="51"/>
      <c r="K64" s="51"/>
      <c r="L64" s="51"/>
      <c r="M64" s="51"/>
      <c r="N64" s="51"/>
      <c r="O64" s="51"/>
      <c r="P64" s="51"/>
      <c r="Q64" s="51"/>
    </row>
    <row r="65" spans="1:17" ht="18.75">
      <c r="A65" s="52">
        <v>60</v>
      </c>
      <c r="B65" s="58">
        <v>45993</v>
      </c>
      <c r="C65" s="62">
        <v>100</v>
      </c>
      <c r="D65" s="52"/>
      <c r="E65" s="52" t="s">
        <v>143</v>
      </c>
      <c r="F65" s="52">
        <v>3</v>
      </c>
      <c r="G65" s="52" t="s">
        <v>230</v>
      </c>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J9" sqref="J9"/>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19380</v>
      </c>
      <c r="D5" s="78">
        <f>outcomes!C3</f>
        <v>20009</v>
      </c>
      <c r="E5" s="79">
        <f>(C3+C5)-D5</f>
        <v>4974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8" workbookViewId="0">
      <selection activeCell="B92" sqref="B92"/>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20009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9">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1">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316</v>
      </c>
    </row>
    <row r="90" spans="1:4" ht="18.75">
      <c r="A90" s="35">
        <v>86</v>
      </c>
      <c r="B90" s="67">
        <v>45984</v>
      </c>
      <c r="C90" s="62">
        <v>100</v>
      </c>
      <c r="D90" s="52" t="s">
        <v>332</v>
      </c>
    </row>
    <row r="91" spans="1:4" ht="18.75">
      <c r="A91" s="35">
        <v>87</v>
      </c>
      <c r="B91" s="67">
        <v>45992</v>
      </c>
      <c r="C91" s="62">
        <v>500</v>
      </c>
      <c r="D91" s="52" t="s">
        <v>336</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2025-12-02T17:29:30Z</dcterms:modified>
</cp:coreProperties>
</file>